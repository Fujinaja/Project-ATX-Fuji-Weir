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mc:AlternateContent xmlns:mc="http://schemas.openxmlformats.org/markup-compatibility/2006">
    <mc:Choice Requires="x15">
      <x15ac:absPath xmlns:x15ac="http://schemas.microsoft.com/office/spreadsheetml/2010/11/ac" url="C:\Fuji_work\electronics_lab\"/>
    </mc:Choice>
  </mc:AlternateContent>
  <xr:revisionPtr revIDLastSave="0" documentId="8_{997867C2-774B-4D4E-8054-E7324586F7BA}" xr6:coauthVersionLast="47" xr6:coauthVersionMax="47" xr10:uidLastSave="{00000000-0000-0000-0000-000000000000}"/>
  <bookViews>
    <workbookView xWindow="-108" yWindow="-108" windowWidth="23256" windowHeight="12456" xr2:uid="{00000000-000D-0000-FFFF-FFFF00000000}"/>
  </bookViews>
  <sheets>
    <sheet name="GanttChart" sheetId="9" r:id="rId1"/>
    <sheet name="GanttChartPro" sheetId="12" r:id="rId2"/>
    <sheet name="Help" sheetId="6" r:id="rId3"/>
    <sheet name="TermsOfUse" sheetId="11" r:id="rId4"/>
  </sheets>
  <definedNames>
    <definedName name="prevWBS" localSheetId="0">GanttChart!$A1048576</definedName>
    <definedName name="_xlnm.Print_Area" localSheetId="0">GanttChart!$A$1:$AS$26</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20" i="9" l="1"/>
  <c r="F19" i="9"/>
  <c r="F8" i="9" l="1"/>
  <c r="I8" i="9" s="1"/>
  <c r="F21" i="9"/>
  <c r="I21" i="9" s="1"/>
  <c r="F17" i="9"/>
  <c r="I17" i="9" s="1"/>
  <c r="F12" i="9"/>
  <c r="I12" i="9" s="1"/>
  <c r="F9" i="9" l="1"/>
  <c r="K6" i="9"/>
  <c r="F10" i="9" l="1"/>
  <c r="I10" i="9" s="1"/>
  <c r="I9" i="9"/>
  <c r="K7" i="9"/>
  <c r="K4" i="9"/>
  <c r="A8" i="9"/>
  <c r="L6" i="9" l="1"/>
  <c r="F14" i="9" l="1"/>
  <c r="I14" i="9" s="1"/>
  <c r="F13" i="9"/>
  <c r="I13" i="9" s="1"/>
  <c r="I19" i="9"/>
  <c r="F18" i="9"/>
  <c r="I18" i="9" s="1"/>
  <c r="F23" i="9"/>
  <c r="I23" i="9" s="1"/>
  <c r="F22" i="9"/>
  <c r="I22" i="9" s="1"/>
  <c r="M6" i="9"/>
  <c r="I20" i="9"/>
  <c r="F24" i="9" l="1"/>
  <c r="I24" i="9" s="1"/>
  <c r="N6" i="9"/>
  <c r="O6" i="9" l="1"/>
  <c r="K5" i="9"/>
  <c r="F11" i="9" l="1"/>
  <c r="I11"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Q7" i="9" l="1"/>
  <c r="AR7" i="9" l="1"/>
  <c r="AS7" i="9" l="1"/>
  <c r="A9" i="9" l="1"/>
  <c r="A10" i="9" s="1"/>
  <c r="A11" i="9" s="1"/>
  <c r="A12" i="9" l="1"/>
  <c r="A13" i="9" s="1"/>
  <c r="A14" i="9" s="1"/>
  <c r="A15" i="9" l="1"/>
  <c r="A16" i="9" s="1"/>
  <c r="A17" i="9" s="1"/>
  <c r="A18" i="9" s="1"/>
  <c r="A19" i="9" s="1"/>
  <c r="A20" i="9" s="1"/>
  <c r="F15" i="9" l="1"/>
  <c r="A21" i="9"/>
  <c r="A22" i="9" s="1"/>
  <c r="A23" i="9" s="1"/>
  <c r="A24" i="9" s="1"/>
  <c r="I15" i="9" l="1"/>
  <c r="F16" i="9"/>
  <c r="I16"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I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color indexed="81"/>
            <rFont val="Tahoma"/>
            <family val="2"/>
          </rPr>
          <t>This is an example comment.</t>
        </r>
      </text>
    </comment>
  </commentList>
</comments>
</file>

<file path=xl/sharedStrings.xml><?xml version="1.0" encoding="utf-8"?>
<sst xmlns="http://schemas.openxmlformats.org/spreadsheetml/2006/main" count="167" uniqueCount="150">
  <si>
    <t>WBS</t>
  </si>
  <si>
    <t>Input Cell</t>
  </si>
  <si>
    <t>Label</t>
  </si>
  <si>
    <t>Getting Started Tips</t>
  </si>
  <si>
    <t>FAQs</t>
  </si>
  <si>
    <t>Q:</t>
  </si>
  <si>
    <t>Creating Task Dependencies</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</si>
  <si>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</si>
  <si>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</si>
  <si>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</si>
  <si>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</si>
  <si>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</si>
  <si>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</si>
  <si>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</si>
  <si>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</si>
  <si>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</si>
  <si>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</si>
  <si>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</si>
  <si>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</si>
  <si>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</si>
  <si>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Gantt Chart Template Pro</t>
  </si>
  <si>
    <t>Learn More About Gantt Chart Template Pro</t>
  </si>
  <si>
    <t>Benefits and Features of Gantt Chart Template Pro</t>
  </si>
  <si>
    <t xml:space="preserve"> - Start date and End date</t>
  </si>
  <si>
    <t xml:space="preserve"> - Start date and Work days</t>
  </si>
  <si>
    <t xml:space="preserve"> - Start date and Calendar days</t>
  </si>
  <si>
    <t>Easily Create Task Dependencies</t>
  </si>
  <si>
    <t>Exclude Holidays from Work Days</t>
  </si>
  <si>
    <r>
      <t>Gantt Chart Template Pro</t>
    </r>
    <r>
      <rPr>
        <sz val="10"/>
        <rFont val="Arial"/>
        <family val="2"/>
      </rPr>
      <t xml:space="preserve"> is similar to this free version, but</t>
    </r>
  </si>
  <si>
    <t>it is more feature-packed. It also comes with other bonus content.</t>
  </si>
  <si>
    <t>Use Work Days as an Input</t>
  </si>
  <si>
    <t>Customize Your Work Week</t>
  </si>
  <si>
    <t>functions that allow you define the work week as something other than Monday-Friday.</t>
  </si>
  <si>
    <t>Simple Color-Coding</t>
  </si>
  <si>
    <t>By default, the Pro version is set up to have you enter Work Days instead of Calendar Days.</t>
  </si>
  <si>
    <t>The expanded set of template rows provides more options for defining the Start date, End date,</t>
  </si>
  <si>
    <t>and Duration of tasks. Define a task based on …</t>
  </si>
  <si>
    <t>List holidays and other specific non-working days that you want to exclude from work days.</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</si>
  <si>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</si>
  <si>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</si>
  <si>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</si>
  <si>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</si>
  <si>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</si>
  <si>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Gantt Chart Template Pro for Excel Online</t>
  </si>
  <si>
    <t>Pro version for Excel Online.</t>
  </si>
  <si>
    <t>The following link is a blog post that talks specifically about the</t>
  </si>
  <si>
    <t>https://www.vertex42.com/ExcelTemplates/excel-gantt-chart.html</t>
  </si>
  <si>
    <t>https://www.vertex42.com/licensing/EULA_privateuse.html</t>
  </si>
  <si>
    <t>Learn About Gantt Chart Template Pro</t>
  </si>
  <si>
    <t>Terms of Use</t>
  </si>
  <si>
    <t>Gantt Chart Template, by Vertex42.com</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</si>
  <si>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</si>
  <si>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</si>
  <si>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</si>
  <si>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</si>
  <si>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</si>
  <si>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</si>
  <si>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Watch Demo Videos of the Pro Version on Vertex42.com</t>
  </si>
  <si>
    <t>Please read the license agreement in the TermsOfUse worksheet to learn how you may or may not use and share this spreadsheet.</t>
  </si>
  <si>
    <t>TASK</t>
  </si>
  <si>
    <t>LEAD</t>
  </si>
  <si>
    <t>START</t>
  </si>
  <si>
    <t>END</t>
  </si>
  <si>
    <t>DAYS</t>
  </si>
  <si>
    <t>WORK DAYS</t>
  </si>
  <si>
    <t>PREDECESSOR</t>
  </si>
  <si>
    <t xml:space="preserve">Display Week </t>
  </si>
  <si>
    <t xml:space="preserve">Project Start Date </t>
  </si>
  <si>
    <t xml:space="preserve">Project Lead </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</si>
  <si>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</si>
  <si>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Some of the labels include cell comments to provide extra information.</t>
  </si>
  <si>
    <t>• Define the task start date and duration (days) by editing the light green cells.</t>
  </si>
  <si>
    <t>• [Bracketed Text] is meant to be edited, like the project title and task descriptions.</t>
  </si>
  <si>
    <t>• If you see "#####" in a cell, widen the column to display the cell contents.</t>
  </si>
  <si>
    <t>• To adjust the range of dates shown in the Gantt chart, change the Display Week number.</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</si>
  <si>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</si>
  <si>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</si>
  <si>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t>• Insert a new blank row by right-clicking on the row number and selecting Insert.</t>
  </si>
  <si>
    <t>• Copy a row from the set of template rows at the bottom of the worksheet.</t>
  </si>
  <si>
    <t>• With the new blank row selected, press Ctrl+d to copy the formulas and formatting down from the row above OR use the row drag handle to copy the formulas and formatting down.</t>
  </si>
  <si>
    <t>About This Template</t>
  </si>
  <si>
    <t>Be sure to read the Getting Started Tips below. Watching the video demos for Gantt Chart Template Pro may also help you see how to use the spreadsheet.</t>
  </si>
  <si>
    <t>• The Project Start Date is used to define the first week shown in the gantt chart.</t>
  </si>
  <si>
    <t>• Insert new tasks using one of the methods listed below.</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</si>
  <si>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</si>
  <si>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2</t>
  </si>
  <si>
    <t>• Right-click on the row where you want to insert the new task and select Insert Copied Cells.</t>
  </si>
  <si>
    <t>Help improve Excel by voting on a suggestion to fix this problem.</t>
  </si>
  <si>
    <t>METHOD 1 (recommended)</t>
  </si>
  <si>
    <t>You can either copy/paste/insert these template rows via Method 2 as explained above, OR you can just copy/paste the desired WBS cell when you want to change the WBS level.</t>
  </si>
  <si>
    <t>The set of template rows at the bottom of the Gantt Chart worksheet provide examples of different ways to format and define tasks for different WBS levels.</t>
  </si>
  <si>
    <t>Each different WBS level uses a different formula in the WBS column.</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</si>
  <si>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</si>
  <si>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</si>
  <si>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</si>
  <si>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</si>
  <si>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</si>
  <si>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</si>
  <si>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</si>
  <si>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</si>
  <si>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</si>
  <si>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</si>
  <si>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</si>
  <si>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</si>
  <si>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The %Complete for a group of tasks can be calculated from its sub tasks using the formula below, where "workdays" is a reference to the range of work day values and "complete" is a reference to the %complete for each of the subtasks.</t>
  </si>
  <si>
    <t>Entering work days instead of calendar days is a feature of the Pro version. There is nothing in the free version preventing you from entering your own formulas, though.</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</si>
  <si>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</si>
  <si>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</si>
  <si>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How do I change the </t>
    </r>
    <r>
      <rPr>
        <b/>
        <sz val="11"/>
        <color theme="4" tint="-0.249977111117893"/>
        <rFont val="Arial"/>
        <family val="2"/>
      </rPr>
      <t>Print Settings</t>
    </r>
    <r>
      <rPr>
        <sz val="11"/>
        <color theme="4" tint="-0.249977111117893"/>
        <rFont val="Arial"/>
        <family val="2"/>
      </rPr>
      <t>? (Excel 2010, 2013)</t>
    </r>
  </si>
  <si>
    <t>You will need to add columns to the right of the Gantt Chart via copy/paste. Copy and paste the columns in groups of 7. Afterwards, you will also probably need to update the print area.</t>
  </si>
  <si>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</si>
  <si>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</si>
  <si>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</si>
  <si>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t>Help</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</si>
  <si>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</si>
  <si>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</si>
  <si>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</si>
  <si>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r>
      <t xml:space="preserve">I've </t>
    </r>
    <r>
      <rPr>
        <b/>
        <sz val="11"/>
        <color theme="4" tint="-0.249977111117893"/>
        <rFont val="Arial"/>
        <family val="2"/>
      </rPr>
      <t>messed up</t>
    </r>
    <r>
      <rPr>
        <sz val="11"/>
        <color theme="4" tint="-0.249977111117893"/>
        <rFont val="Arial"/>
        <family val="2"/>
      </rPr>
      <t xml:space="preserve"> the chart area somehow. How do I fix it?</t>
    </r>
  </si>
  <si>
    <t>Though you can still use your own formulas for creating task dependencies, the Pro version</t>
  </si>
  <si>
    <t>includes template rows that calculate the Start date based on the WBS number that you enter</t>
  </si>
  <si>
    <t>in the Predecessor column.</t>
  </si>
  <si>
    <t>The versions designed for Excel 2010+ use the WORKDAY.INTL() and NETWORKDAYS.INTL()</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</si>
  <si>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</si>
  <si>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t>Method 2 will work, but Excel will split/fracture/duplicate conditional formatting rules rather than merging the rules. This can cause inefficiencies in very large and heavily modified files.</t>
  </si>
  <si>
    <t>You can enter the Start date manually, or define task dependencies using a formula. Below are some common options for defining the Start date:</t>
  </si>
  <si>
    <t>Select the entire range of cells you want to print and go to File &gt; Print Area &gt; Set Print Area. Then go to File &gt; Page Setup or File &gt; Print Preview and adjust the Scaling, Margins, and Page Orientation as desired.</t>
  </si>
  <si>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</si>
  <si>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t>© 2006-2025 Vertex42 LLC</t>
  </si>
  <si>
    <t>Warankron Raktapongpaisal</t>
  </si>
  <si>
    <t>KMUTNB</t>
  </si>
  <si>
    <t>PROJECT 1 ATX PSU</t>
  </si>
  <si>
    <t>Design and Planning</t>
  </si>
  <si>
    <t>Research information</t>
  </si>
  <si>
    <t>Designing a flame</t>
  </si>
  <si>
    <t>Designing a Electrical</t>
  </si>
  <si>
    <t>Piyaphat</t>
  </si>
  <si>
    <t>Warankorn</t>
  </si>
  <si>
    <t>Building a flame</t>
  </si>
  <si>
    <t>Dissamble</t>
  </si>
  <si>
    <t>Cut acrylic sheet</t>
  </si>
  <si>
    <t>Connect a flame</t>
  </si>
  <si>
    <t>Drilling a hole</t>
  </si>
  <si>
    <t>Wiring a electrical parts</t>
  </si>
  <si>
    <t>Desoldering a parts</t>
  </si>
  <si>
    <t>Assemble a parts</t>
  </si>
  <si>
    <t>Soldering and connect a parts</t>
  </si>
  <si>
    <t>Testing and Trobleshooting</t>
  </si>
  <si>
    <t xml:space="preserve">Testing </t>
  </si>
  <si>
    <t>Trobleshooting</t>
  </si>
  <si>
    <t>Testing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</si>
</sst>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87" formatCode="m/d/yyyy\ \(dddd\)"/>
    <numFmt numFmtId="188" formatCode="ddd\ m/dd/yy"/>
    <numFmt numFmtId="189" formatCode="d"/>
    <numFmt numFmtId="190" formatCode="d\ mmm\ yyyy"/>
  </numFmts>
  <fonts count="70" x14ac:knownFonts="1">
    <font>
      <sz val="10"/>
      <name val="Arial"/>
    </font>
    <font>
      <sz val="10"/>
      <name val="Arial"/>
      <family val="2"/>
    </font>
    <font>
      <u/>
      <sz val="10"/>
      <color indexed="12"/>
      <name val="Arial"/>
      <family val="2"/>
    </font>
    <font>
      <sz val="8"/>
      <name val="Arial"/>
      <family val="2"/>
    </font>
    <font>
      <u/>
      <sz val="8"/>
      <color indexed="12"/>
      <name val="Arial"/>
      <family val="2"/>
    </font>
    <font>
      <b/>
      <sz val="12"/>
      <name val="Arial"/>
      <family val="2"/>
    </font>
    <font>
      <sz val="10"/>
      <name val="Arial"/>
      <family val="2"/>
    </font>
    <font>
      <b/>
      <sz val="10"/>
      <name val="Arial"/>
      <family val="2"/>
    </font>
    <font>
      <sz val="8"/>
      <color indexed="81"/>
      <name val="Tahoma"/>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Cordia New"/>
      <family val="2"/>
      <scheme val="minor"/>
    </font>
    <font>
      <sz val="10"/>
      <name val="Cordia New"/>
      <family val="1"/>
      <scheme val="major"/>
    </font>
    <font>
      <sz val="11"/>
      <name val="Cordia New"/>
      <family val="1"/>
      <scheme val="major"/>
    </font>
    <font>
      <sz val="10"/>
      <name val="Cordia New"/>
      <family val="2"/>
      <scheme val="minor"/>
    </font>
    <font>
      <b/>
      <sz val="11"/>
      <name val="Cordia New"/>
      <family val="2"/>
      <scheme val="minor"/>
    </font>
    <font>
      <sz val="9"/>
      <color rgb="FF000000"/>
      <name val="Cordia New"/>
      <family val="2"/>
      <scheme val="minor"/>
    </font>
    <font>
      <i/>
      <sz val="9"/>
      <name val="Cordia New"/>
      <family val="2"/>
      <scheme val="minor"/>
    </font>
    <font>
      <sz val="10"/>
      <color rgb="FF000000"/>
      <name val="Cordia New"/>
      <family val="2"/>
      <scheme val="minor"/>
    </font>
    <font>
      <sz val="8"/>
      <name val="Cordia New"/>
      <family val="2"/>
      <scheme val="minor"/>
    </font>
    <font>
      <sz val="11"/>
      <name val="Cordia New"/>
      <family val="2"/>
      <scheme val="minor"/>
    </font>
    <font>
      <sz val="14"/>
      <name val="Cordia New"/>
      <family val="2"/>
      <scheme val="minor"/>
    </font>
    <font>
      <sz val="14"/>
      <color rgb="FF000000"/>
      <name val="Cordia New"/>
      <family val="2"/>
      <scheme val="minor"/>
    </font>
    <font>
      <sz val="10"/>
      <name val="Cordia New"/>
      <family val="2"/>
      <scheme val="major"/>
    </font>
    <font>
      <b/>
      <sz val="9"/>
      <name val="Cordia New"/>
      <family val="2"/>
      <scheme val="major"/>
    </font>
    <font>
      <b/>
      <sz val="8"/>
      <name val="Cordia New"/>
      <family val="2"/>
      <scheme val="major"/>
    </font>
    <font>
      <sz val="16"/>
      <color theme="4" tint="-0.249977111117893"/>
      <name val="Cordia New"/>
      <family val="1"/>
      <scheme val="major"/>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sz val="11"/>
      <color rgb="FF000000"/>
      <name val="Arial"/>
      <family val="2"/>
    </font>
    <font>
      <i/>
      <sz val="11"/>
      <name val="Arial"/>
      <family val="2"/>
    </font>
    <font>
      <b/>
      <sz val="11"/>
      <color theme="4" tint="-0.249977111117893"/>
      <name val="Arial"/>
      <family val="2"/>
    </font>
    <font>
      <sz val="11"/>
      <color theme="4" tint="-0.249977111117893"/>
      <name val="Arial"/>
      <family val="2"/>
    </font>
    <font>
      <i/>
      <sz val="11"/>
      <color rgb="FF000000"/>
      <name val="Arial"/>
      <family val="2"/>
    </font>
    <font>
      <i/>
      <sz val="8"/>
      <color theme="0" tint="-0.34998626667073579"/>
      <name val="Arial"/>
      <family val="2"/>
    </font>
    <font>
      <sz val="11"/>
      <color rgb="FF000000"/>
      <name val="Cordia New"/>
      <family val="2"/>
      <scheme val="minor"/>
    </font>
  </fonts>
  <fills count="29">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0"/>
        <bgColor rgb="FFD9D9D9"/>
      </patternFill>
    </fill>
    <fill>
      <patternFill patternType="solid">
        <fgColor theme="0"/>
        <bgColor indexed="64"/>
      </patternFill>
    </fill>
    <fill>
      <patternFill patternType="solid">
        <fgColor theme="0"/>
        <bgColor rgb="FFFFFFFF"/>
      </patternFill>
    </fill>
    <fill>
      <patternFill patternType="solid">
        <fgColor theme="0"/>
        <bgColor rgb="FFD6F4D9"/>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12" fillId="2"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2"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8"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0"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16" borderId="0" applyNumberFormat="0" applyBorder="0" applyAlignment="0" applyProtection="0"/>
    <xf numFmtId="0" fontId="15" fillId="17" borderId="1" applyNumberFormat="0" applyAlignment="0" applyProtection="0"/>
    <xf numFmtId="0" fontId="16" fillId="18" borderId="2" applyNumberFormat="0" applyAlignment="0" applyProtection="0"/>
    <xf numFmtId="0" fontId="17" fillId="0" borderId="0" applyNumberFormat="0" applyFill="0" applyBorder="0" applyAlignment="0" applyProtection="0"/>
    <xf numFmtId="0" fontId="18" fillId="19"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 fillId="0" borderId="0" applyNumberFormat="0" applyFill="0" applyBorder="0" applyAlignment="0" applyProtection="0">
      <alignment vertical="top"/>
      <protection locked="0"/>
    </xf>
    <xf numFmtId="0" fontId="22" fillId="11" borderId="1" applyNumberFormat="0" applyAlignment="0" applyProtection="0"/>
    <xf numFmtId="0" fontId="23" fillId="0" borderId="6" applyNumberFormat="0" applyFill="0" applyAlignment="0" applyProtection="0"/>
    <xf numFmtId="0" fontId="24" fillId="5" borderId="0" applyNumberFormat="0" applyBorder="0" applyAlignment="0" applyProtection="0"/>
    <xf numFmtId="0" fontId="6" fillId="5" borderId="7" applyNumberFormat="0" applyFont="0" applyAlignment="0" applyProtection="0"/>
    <xf numFmtId="0" fontId="25" fillId="17" borderId="8" applyNumberFormat="0" applyAlignment="0" applyProtection="0"/>
    <xf numFmtId="9" fontId="1" fillId="0" borderId="0" applyFon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cellStyleXfs>
  <cellXfs count="147">
    <xf numFmtId="0" fontId="0" fillId="0" borderId="0" xfId="0"/>
    <xf numFmtId="0" fontId="0" fillId="20" borderId="0" xfId="0" applyFill="1"/>
    <xf numFmtId="0" fontId="1" fillId="0" borderId="0" xfId="0" applyFont="1"/>
    <xf numFmtId="0" fontId="3" fillId="0" borderId="0" xfId="0" applyFont="1" applyAlignment="1">
      <alignment horizontal="right"/>
    </xf>
    <xf numFmtId="0" fontId="7" fillId="0" borderId="0" xfId="0" applyFont="1"/>
    <xf numFmtId="0" fontId="1" fillId="0" borderId="0" xfId="0" applyFont="1" applyAlignment="1">
      <alignment horizontal="left" wrapText="1" indent="1"/>
    </xf>
    <xf numFmtId="0" fontId="1" fillId="0" borderId="14" xfId="0" applyFont="1" applyBorder="1"/>
    <xf numFmtId="0" fontId="0" fillId="0" borderId="14" xfId="0" applyBorder="1"/>
    <xf numFmtId="0" fontId="29" fillId="0" borderId="14" xfId="0" applyFont="1" applyBorder="1" applyAlignment="1">
      <alignment horizontal="left" wrapText="1"/>
    </xf>
    <xf numFmtId="0" fontId="5" fillId="0" borderId="14" xfId="0" applyFont="1" applyBorder="1" applyAlignment="1">
      <alignment horizontal="left" wrapText="1"/>
    </xf>
    <xf numFmtId="0" fontId="29" fillId="0" borderId="14" xfId="0" applyFont="1" applyBorder="1" applyAlignment="1">
      <alignment horizontal="left"/>
    </xf>
    <xf numFmtId="0" fontId="3" fillId="0" borderId="0" xfId="0" applyFont="1" applyAlignment="1">
      <alignment wrapText="1"/>
    </xf>
    <xf numFmtId="0" fontId="10" fillId="0" borderId="0" xfId="0" applyFont="1" applyProtection="1">
      <protection locked="0"/>
    </xf>
    <xf numFmtId="0" fontId="34" fillId="0" borderId="0" xfId="34" applyFont="1" applyAlignment="1" applyProtection="1"/>
    <xf numFmtId="0" fontId="35" fillId="0" borderId="0" xfId="0" applyFont="1"/>
    <xf numFmtId="0" fontId="36" fillId="0" borderId="0" xfId="0" applyFont="1"/>
    <xf numFmtId="0" fontId="33" fillId="0" borderId="0" xfId="0" applyFont="1"/>
    <xf numFmtId="0" fontId="3" fillId="0" borderId="0" xfId="0" applyFont="1" applyAlignment="1">
      <alignment horizontal="left" vertical="center"/>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32" fillId="0" borderId="0" xfId="0" applyFont="1" applyAlignment="1">
      <alignment vertical="center"/>
    </xf>
    <xf numFmtId="0" fontId="29" fillId="0" borderId="15" xfId="0" applyFont="1" applyBorder="1" applyAlignment="1">
      <alignment horizontal="left" wrapText="1"/>
    </xf>
    <xf numFmtId="0" fontId="30" fillId="0" borderId="14" xfId="34" applyFont="1" applyBorder="1" applyAlignment="1" applyProtection="1">
      <alignment horizontal="left" wrapText="1"/>
    </xf>
    <xf numFmtId="0" fontId="37" fillId="0" borderId="15" xfId="34" applyFont="1" applyBorder="1" applyAlignment="1" applyProtection="1">
      <alignment wrapText="1"/>
    </xf>
    <xf numFmtId="0" fontId="32" fillId="0" borderId="0" xfId="0" applyFont="1" applyAlignment="1">
      <alignment horizontal="left" vertical="center"/>
    </xf>
    <xf numFmtId="0" fontId="31" fillId="0" borderId="0" xfId="0" applyFont="1" applyAlignment="1">
      <alignment horizontal="left" vertical="center"/>
    </xf>
    <xf numFmtId="0" fontId="1" fillId="0" borderId="15" xfId="0" applyFont="1" applyBorder="1"/>
    <xf numFmtId="0" fontId="0" fillId="0" borderId="15" xfId="0" applyBorder="1"/>
    <xf numFmtId="0" fontId="29" fillId="0" borderId="0" xfId="0" applyFont="1" applyAlignment="1">
      <alignment horizontal="left" wrapText="1"/>
    </xf>
    <xf numFmtId="0" fontId="9" fillId="0" borderId="0" xfId="0" applyFont="1" applyAlignment="1" applyProtection="1">
      <alignment vertical="center"/>
      <protection locked="0"/>
    </xf>
    <xf numFmtId="0" fontId="43" fillId="0" borderId="0" xfId="0" applyFont="1"/>
    <xf numFmtId="0" fontId="44" fillId="0" borderId="0" xfId="0" applyFont="1" applyAlignment="1" applyProtection="1">
      <alignment vertical="center"/>
      <protection locked="0"/>
    </xf>
    <xf numFmtId="0" fontId="46" fillId="22" borderId="10" xfId="0" applyFont="1" applyFill="1" applyBorder="1" applyAlignment="1">
      <alignment horizontal="left" vertical="center"/>
    </xf>
    <xf numFmtId="0" fontId="46" fillId="22" borderId="10" xfId="0" applyFont="1" applyFill="1" applyBorder="1" applyAlignment="1">
      <alignment vertical="center"/>
    </xf>
    <xf numFmtId="0" fontId="42" fillId="22" borderId="10" xfId="0" applyFont="1" applyFill="1" applyBorder="1" applyAlignment="1">
      <alignment vertical="center"/>
    </xf>
    <xf numFmtId="0" fontId="42" fillId="22" borderId="10" xfId="0" applyFont="1" applyFill="1" applyBorder="1" applyAlignment="1">
      <alignment horizontal="center" vertical="center"/>
    </xf>
    <xf numFmtId="1" fontId="42" fillId="22" borderId="10" xfId="40" applyNumberFormat="1" applyFont="1" applyFill="1" applyBorder="1" applyAlignment="1" applyProtection="1">
      <alignment horizontal="center" vertical="center"/>
    </xf>
    <xf numFmtId="9" fontId="42" fillId="22" borderId="10" xfId="40" applyFont="1" applyFill="1" applyBorder="1" applyAlignment="1" applyProtection="1">
      <alignment horizontal="center" vertical="center"/>
    </xf>
    <xf numFmtId="1" fontId="42" fillId="22" borderId="10" xfId="0" applyNumberFormat="1" applyFont="1" applyFill="1" applyBorder="1" applyAlignment="1">
      <alignment horizontal="center" vertical="center"/>
    </xf>
    <xf numFmtId="0" fontId="42" fillId="0" borderId="10" xfId="0" applyFont="1" applyBorder="1" applyAlignment="1">
      <alignment horizontal="left" vertical="center"/>
    </xf>
    <xf numFmtId="0" fontId="42" fillId="0" borderId="10" xfId="0" applyFont="1" applyBorder="1" applyAlignment="1">
      <alignment vertical="center"/>
    </xf>
    <xf numFmtId="1" fontId="47" fillId="24" borderId="12" xfId="0" applyNumberFormat="1" applyFont="1" applyFill="1" applyBorder="1" applyAlignment="1">
      <alignment horizontal="center" vertical="center"/>
    </xf>
    <xf numFmtId="9" fontId="47" fillId="24" borderId="12" xfId="40" applyFont="1" applyFill="1" applyBorder="1" applyAlignment="1" applyProtection="1">
      <alignment horizontal="center" vertical="center"/>
    </xf>
    <xf numFmtId="1" fontId="47" fillId="0" borderId="12" xfId="0" applyNumberFormat="1" applyFont="1" applyBorder="1" applyAlignment="1">
      <alignment horizontal="center" vertical="center"/>
    </xf>
    <xf numFmtId="0" fontId="48" fillId="0" borderId="10" xfId="0" applyFont="1" applyBorder="1" applyAlignment="1">
      <alignment vertical="center"/>
    </xf>
    <xf numFmtId="0" fontId="42" fillId="0" borderId="10" xfId="0" applyFont="1" applyBorder="1" applyAlignment="1">
      <alignment horizontal="center" vertical="center"/>
    </xf>
    <xf numFmtId="1" fontId="42" fillId="0" borderId="10" xfId="40" applyNumberFormat="1" applyFont="1" applyFill="1" applyBorder="1" applyAlignment="1" applyProtection="1">
      <alignment horizontal="center" vertical="center"/>
    </xf>
    <xf numFmtId="9" fontId="42" fillId="0" borderId="10" xfId="40" applyFont="1" applyFill="1" applyBorder="1" applyAlignment="1" applyProtection="1">
      <alignment horizontal="center" vertical="center"/>
    </xf>
    <xf numFmtId="1" fontId="42" fillId="0" borderId="10" xfId="0" applyNumberFormat="1" applyFont="1" applyBorder="1" applyAlignment="1">
      <alignment horizontal="center" vertical="center"/>
    </xf>
    <xf numFmtId="0" fontId="42" fillId="0" borderId="0" xfId="0" applyFont="1" applyAlignment="1">
      <alignment vertical="center"/>
    </xf>
    <xf numFmtId="189" fontId="3" fillId="0" borderId="13" xfId="0" applyNumberFormat="1" applyFont="1" applyBorder="1" applyAlignment="1">
      <alignment horizontal="center" vertical="center" shrinkToFit="1"/>
    </xf>
    <xf numFmtId="0" fontId="46" fillId="22" borderId="16" xfId="0" applyFont="1" applyFill="1" applyBorder="1" applyAlignment="1">
      <alignment horizontal="left" vertical="center"/>
    </xf>
    <xf numFmtId="0" fontId="46" fillId="22" borderId="16" xfId="0" applyFont="1" applyFill="1" applyBorder="1" applyAlignment="1">
      <alignment vertical="center"/>
    </xf>
    <xf numFmtId="0" fontId="42" fillId="22" borderId="16" xfId="0" applyFont="1" applyFill="1" applyBorder="1" applyAlignment="1">
      <alignment vertical="center"/>
    </xf>
    <xf numFmtId="0" fontId="42" fillId="22" borderId="16" xfId="0" applyFont="1" applyFill="1" applyBorder="1" applyAlignment="1">
      <alignment horizontal="center" vertical="center"/>
    </xf>
    <xf numFmtId="188" fontId="42" fillId="22" borderId="16" xfId="0" applyNumberFormat="1" applyFont="1" applyFill="1" applyBorder="1" applyAlignment="1">
      <alignment horizontal="right" vertical="center"/>
    </xf>
    <xf numFmtId="1" fontId="42" fillId="22" borderId="16" xfId="40" applyNumberFormat="1" applyFont="1" applyFill="1" applyBorder="1" applyAlignment="1" applyProtection="1">
      <alignment horizontal="center" vertical="center"/>
    </xf>
    <xf numFmtId="9" fontId="42" fillId="22" borderId="16" xfId="40" applyFont="1" applyFill="1" applyBorder="1" applyAlignment="1" applyProtection="1">
      <alignment horizontal="center" vertical="center"/>
    </xf>
    <xf numFmtId="1" fontId="42" fillId="22" borderId="16" xfId="0" applyNumberFormat="1" applyFont="1" applyFill="1" applyBorder="1" applyAlignment="1">
      <alignment horizontal="center" vertical="center"/>
    </xf>
    <xf numFmtId="189" fontId="3" fillId="0" borderId="18" xfId="0" applyNumberFormat="1" applyFont="1" applyBorder="1" applyAlignment="1">
      <alignment horizontal="center" vertical="center" shrinkToFit="1"/>
    </xf>
    <xf numFmtId="189" fontId="3" fillId="0" borderId="19" xfId="0" applyNumberFormat="1" applyFont="1" applyBorder="1" applyAlignment="1">
      <alignment horizontal="center" vertical="center" shrinkToFit="1"/>
    </xf>
    <xf numFmtId="1" fontId="52" fillId="22" borderId="16" xfId="0" applyNumberFormat="1" applyFont="1" applyFill="1" applyBorder="1" applyAlignment="1">
      <alignment horizontal="center" vertical="center"/>
    </xf>
    <xf numFmtId="1" fontId="53" fillId="0" borderId="12" xfId="0" applyNumberFormat="1" applyFont="1" applyBorder="1" applyAlignment="1">
      <alignment horizontal="center" vertical="center"/>
    </xf>
    <xf numFmtId="1" fontId="52" fillId="22" borderId="10" xfId="0" applyNumberFormat="1" applyFont="1" applyFill="1" applyBorder="1" applyAlignment="1">
      <alignment horizontal="center" vertical="center"/>
    </xf>
    <xf numFmtId="1" fontId="52" fillId="0" borderId="10" xfId="0" applyNumberFormat="1" applyFont="1" applyBorder="1" applyAlignment="1">
      <alignment horizontal="center" vertical="center"/>
    </xf>
    <xf numFmtId="188" fontId="47" fillId="23" borderId="12" xfId="0" applyNumberFormat="1" applyFont="1" applyFill="1" applyBorder="1" applyAlignment="1">
      <alignment horizontal="center" vertical="center"/>
    </xf>
    <xf numFmtId="188" fontId="47" fillId="0" borderId="12" xfId="0" applyNumberFormat="1" applyFont="1" applyBorder="1" applyAlignment="1">
      <alignment horizontal="center" vertical="center"/>
    </xf>
    <xf numFmtId="188" fontId="42" fillId="22" borderId="10" xfId="0" applyNumberFormat="1" applyFont="1" applyFill="1" applyBorder="1" applyAlignment="1">
      <alignment horizontal="center" vertical="center"/>
    </xf>
    <xf numFmtId="0" fontId="48" fillId="0" borderId="10" xfId="0" applyFont="1" applyBorder="1" applyAlignment="1">
      <alignment horizontal="center" vertical="center"/>
    </xf>
    <xf numFmtId="0" fontId="42" fillId="22" borderId="16" xfId="0" applyFont="1" applyFill="1" applyBorder="1" applyAlignment="1">
      <alignment horizontal="left" vertical="center"/>
    </xf>
    <xf numFmtId="9" fontId="42" fillId="0" borderId="10" xfId="0" applyNumberFormat="1" applyFont="1" applyBorder="1" applyAlignment="1">
      <alignment horizontal="left" vertical="center"/>
    </xf>
    <xf numFmtId="0" fontId="42" fillId="22" borderId="10" xfId="0" applyFont="1" applyFill="1" applyBorder="1" applyAlignment="1">
      <alignment horizontal="left" vertical="center"/>
    </xf>
    <xf numFmtId="0" fontId="54" fillId="0" borderId="0" xfId="0" applyFont="1"/>
    <xf numFmtId="0" fontId="54" fillId="0" borderId="0" xfId="0" applyFont="1" applyAlignment="1">
      <alignment horizontal="right" vertical="center"/>
    </xf>
    <xf numFmtId="188" fontId="42" fillId="22" borderId="16" xfId="0" applyNumberFormat="1" applyFont="1" applyFill="1" applyBorder="1" applyAlignment="1">
      <alignment horizontal="center" vertical="center"/>
    </xf>
    <xf numFmtId="0" fontId="55" fillId="0" borderId="20" xfId="0" applyFont="1" applyBorder="1" applyAlignment="1">
      <alignment horizontal="left" vertical="center"/>
    </xf>
    <xf numFmtId="0" fontId="55" fillId="0" borderId="20" xfId="0" applyFont="1" applyBorder="1" applyAlignment="1">
      <alignment horizontal="center" vertical="center" wrapText="1"/>
    </xf>
    <xf numFmtId="0" fontId="56" fillId="0" borderId="20" xfId="0" applyFont="1" applyBorder="1" applyAlignment="1">
      <alignment horizontal="center" vertical="center" wrapText="1"/>
    </xf>
    <xf numFmtId="0" fontId="55" fillId="0" borderId="20" xfId="0" applyFont="1" applyBorder="1" applyAlignment="1">
      <alignment horizontal="center" vertical="center"/>
    </xf>
    <xf numFmtId="0" fontId="42" fillId="0" borderId="21" xfId="0" applyFont="1" applyBorder="1" applyAlignment="1">
      <alignment horizontal="center" vertical="center" shrinkToFit="1"/>
    </xf>
    <xf numFmtId="0" fontId="42" fillId="0" borderId="22" xfId="0" applyFont="1" applyBorder="1" applyAlignment="1">
      <alignment horizontal="center" vertical="center" shrinkToFit="1"/>
    </xf>
    <xf numFmtId="0" fontId="42" fillId="0" borderId="23" xfId="0" applyFont="1" applyBorder="1" applyAlignment="1">
      <alignment horizontal="center" vertical="center" shrinkToFit="1"/>
    </xf>
    <xf numFmtId="0" fontId="57" fillId="0" borderId="0" xfId="0" applyFont="1" applyAlignment="1" applyProtection="1">
      <alignment vertical="center"/>
      <protection locked="0"/>
    </xf>
    <xf numFmtId="0" fontId="42" fillId="0" borderId="10" xfId="0" applyFont="1" applyBorder="1" applyAlignment="1">
      <alignment vertical="center" wrapText="1"/>
    </xf>
    <xf numFmtId="0" fontId="47" fillId="0" borderId="12" xfId="0" applyFont="1" applyBorder="1" applyAlignment="1">
      <alignment horizontal="center" vertical="center"/>
    </xf>
    <xf numFmtId="0" fontId="45" fillId="0" borderId="24" xfId="0" applyFont="1" applyBorder="1" applyAlignment="1" applyProtection="1">
      <alignment horizontal="center" vertical="center"/>
      <protection locked="0"/>
    </xf>
    <xf numFmtId="0" fontId="1" fillId="0" borderId="0" xfId="0" applyFont="1" applyAlignment="1">
      <alignment horizontal="right" vertical="center"/>
    </xf>
    <xf numFmtId="0" fontId="58" fillId="0" borderId="0" xfId="0" applyFont="1"/>
    <xf numFmtId="0" fontId="1" fillId="0" borderId="0" xfId="0" applyFont="1" applyAlignment="1">
      <alignment vertical="center"/>
    </xf>
    <xf numFmtId="0" fontId="1" fillId="24" borderId="0" xfId="0" applyFont="1" applyFill="1" applyAlignment="1">
      <alignment horizontal="center" vertical="center"/>
    </xf>
    <xf numFmtId="0" fontId="1" fillId="21" borderId="0" xfId="0" applyFont="1" applyFill="1" applyAlignment="1">
      <alignment horizontal="center" vertical="center"/>
    </xf>
    <xf numFmtId="0" fontId="59" fillId="0" borderId="0" xfId="0" applyFont="1" applyAlignment="1">
      <alignment wrapText="1"/>
    </xf>
    <xf numFmtId="0" fontId="37" fillId="0" borderId="0" xfId="34" applyFont="1" applyAlignment="1" applyProtection="1"/>
    <xf numFmtId="0" fontId="59" fillId="0" borderId="0" xfId="0" applyFont="1" applyAlignment="1">
      <alignment horizontal="left" wrapText="1"/>
    </xf>
    <xf numFmtId="0" fontId="59" fillId="0" borderId="0" xfId="0" applyFont="1" applyAlignment="1">
      <alignment vertical="center" wrapText="1"/>
    </xf>
    <xf numFmtId="0" fontId="60" fillId="0" borderId="0" xfId="0" applyFont="1" applyAlignment="1">
      <alignment vertical="center"/>
    </xf>
    <xf numFmtId="0" fontId="60" fillId="0" borderId="0" xfId="0" applyFont="1"/>
    <xf numFmtId="0" fontId="61" fillId="0" borderId="0" xfId="0" applyFont="1" applyAlignment="1">
      <alignment vertical="center" wrapText="1"/>
    </xf>
    <xf numFmtId="0" fontId="37" fillId="0" borderId="0" xfId="34" applyFont="1" applyFill="1" applyBorder="1" applyAlignment="1" applyProtection="1">
      <alignment vertical="center"/>
    </xf>
    <xf numFmtId="0" fontId="63" fillId="0" borderId="0" xfId="0" applyFont="1" applyAlignment="1">
      <alignment horizontal="right"/>
    </xf>
    <xf numFmtId="0" fontId="59" fillId="0" borderId="0" xfId="0" applyFont="1"/>
    <xf numFmtId="0" fontId="59" fillId="0" borderId="0" xfId="0" applyFont="1" applyAlignment="1">
      <alignment horizontal="left" indent="1"/>
    </xf>
    <xf numFmtId="0" fontId="59" fillId="0" borderId="0" xfId="0" quotePrefix="1" applyFont="1" applyAlignment="1">
      <alignment horizontal="left" wrapText="1" indent="1"/>
    </xf>
    <xf numFmtId="0" fontId="36" fillId="0" borderId="0" xfId="0" quotePrefix="1" applyFont="1" applyAlignment="1">
      <alignment horizontal="left" indent="1"/>
    </xf>
    <xf numFmtId="0" fontId="63" fillId="0" borderId="0" xfId="0" applyFont="1" applyAlignment="1">
      <alignment horizontal="left" wrapText="1"/>
    </xf>
    <xf numFmtId="0" fontId="59" fillId="0" borderId="0" xfId="0" applyFont="1" applyAlignment="1">
      <alignment horizontal="left" vertical="center" wrapText="1"/>
    </xf>
    <xf numFmtId="0" fontId="65" fillId="0" borderId="0" xfId="0" applyFont="1" applyAlignment="1">
      <alignment horizontal="right"/>
    </xf>
    <xf numFmtId="0" fontId="66" fillId="0" borderId="0" xfId="0" applyFont="1" applyAlignment="1">
      <alignment vertical="center" wrapText="1"/>
    </xf>
    <xf numFmtId="0" fontId="59" fillId="0" borderId="0" xfId="0" quotePrefix="1" applyFont="1" applyAlignment="1">
      <alignment wrapText="1"/>
    </xf>
    <xf numFmtId="0" fontId="66" fillId="0" borderId="0" xfId="0" applyFont="1"/>
    <xf numFmtId="0" fontId="11" fillId="0" borderId="0" xfId="0" applyFont="1" applyProtection="1">
      <protection locked="0"/>
    </xf>
    <xf numFmtId="0" fontId="65" fillId="0" borderId="0" xfId="0" applyFont="1"/>
    <xf numFmtId="0" fontId="51" fillId="0" borderId="18" xfId="0" applyFont="1" applyBorder="1" applyAlignment="1">
      <alignment horizontal="center" vertical="center"/>
    </xf>
    <xf numFmtId="0" fontId="51" fillId="0" borderId="13" xfId="0" applyFont="1" applyBorder="1" applyAlignment="1">
      <alignment horizontal="center" vertical="center"/>
    </xf>
    <xf numFmtId="0" fontId="51" fillId="0" borderId="19" xfId="0" applyFont="1" applyBorder="1" applyAlignment="1">
      <alignment horizontal="center" vertical="center"/>
    </xf>
    <xf numFmtId="190" fontId="45" fillId="0" borderId="18" xfId="0" applyNumberFormat="1" applyFont="1" applyBorder="1" applyAlignment="1">
      <alignment horizontal="center" vertical="center"/>
    </xf>
    <xf numFmtId="190" fontId="45" fillId="0" borderId="13" xfId="0" applyNumberFormat="1" applyFont="1" applyBorder="1" applyAlignment="1">
      <alignment horizontal="center" vertical="center"/>
    </xf>
    <xf numFmtId="190" fontId="45" fillId="0" borderId="19" xfId="0" applyNumberFormat="1" applyFont="1" applyBorder="1" applyAlignment="1">
      <alignment horizontal="center" vertical="center"/>
    </xf>
    <xf numFmtId="0" fontId="68" fillId="0" borderId="0" xfId="34" applyFont="1" applyBorder="1" applyAlignment="1" applyProtection="1">
      <alignment horizontal="left" vertical="center"/>
    </xf>
    <xf numFmtId="187" fontId="45" fillId="0" borderId="17" xfId="0" applyNumberFormat="1" applyFont="1" applyBorder="1" applyAlignment="1" applyProtection="1">
      <alignment horizontal="center" vertical="center" shrinkToFit="1"/>
      <protection locked="0"/>
    </xf>
    <xf numFmtId="187" fontId="45" fillId="0" borderId="24" xfId="0" applyNumberFormat="1" applyFont="1" applyBorder="1" applyAlignment="1" applyProtection="1">
      <alignment horizontal="center" vertical="center" shrinkToFit="1"/>
      <protection locked="0"/>
    </xf>
    <xf numFmtId="0" fontId="58" fillId="0" borderId="0" xfId="0" applyFont="1" applyAlignment="1">
      <alignment horizontal="left"/>
    </xf>
    <xf numFmtId="0" fontId="49" fillId="25" borderId="0" xfId="0" applyFont="1" applyFill="1" applyAlignment="1">
      <alignment vertical="center"/>
    </xf>
    <xf numFmtId="0" fontId="45" fillId="26" borderId="0" xfId="0" applyFont="1" applyFill="1" applyAlignment="1">
      <alignment vertical="center"/>
    </xf>
    <xf numFmtId="0" fontId="49" fillId="25" borderId="0" xfId="0" applyFont="1" applyFill="1" applyAlignment="1">
      <alignment horizontal="center" vertical="center"/>
    </xf>
    <xf numFmtId="0" fontId="50" fillId="26" borderId="0" xfId="0" applyFont="1" applyFill="1" applyAlignment="1">
      <alignment vertical="center"/>
    </xf>
    <xf numFmtId="0" fontId="52" fillId="26" borderId="0" xfId="0" applyFont="1" applyFill="1" applyAlignment="1">
      <alignment vertical="center"/>
    </xf>
    <xf numFmtId="0" fontId="42" fillId="26" borderId="10" xfId="0" applyFont="1" applyFill="1" applyBorder="1" applyAlignment="1">
      <alignment horizontal="left" vertical="center"/>
    </xf>
    <xf numFmtId="0" fontId="47" fillId="25" borderId="0" xfId="0" applyFont="1" applyFill="1" applyAlignment="1">
      <alignment vertical="center"/>
    </xf>
    <xf numFmtId="0" fontId="42" fillId="26" borderId="0" xfId="0" applyFont="1" applyFill="1" applyAlignment="1">
      <alignment vertical="center"/>
    </xf>
    <xf numFmtId="0" fontId="42" fillId="26" borderId="0" xfId="0" applyFont="1" applyFill="1" applyAlignment="1">
      <alignment horizontal="center" vertical="center"/>
    </xf>
    <xf numFmtId="0" fontId="51" fillId="26" borderId="10" xfId="0" applyFont="1" applyFill="1" applyBorder="1" applyAlignment="1">
      <alignment horizontal="left" vertical="center"/>
    </xf>
    <xf numFmtId="0" fontId="69" fillId="27" borderId="11" xfId="0" applyFont="1" applyFill="1" applyBorder="1" applyAlignment="1">
      <alignment vertical="center"/>
    </xf>
    <xf numFmtId="0" fontId="47" fillId="27" borderId="11" xfId="0" applyFont="1" applyFill="1" applyBorder="1" applyAlignment="1">
      <alignment vertical="center"/>
    </xf>
    <xf numFmtId="0" fontId="47" fillId="26" borderId="12" xfId="0" quotePrefix="1" applyFont="1" applyFill="1" applyBorder="1" applyAlignment="1">
      <alignment horizontal="center" vertical="center"/>
    </xf>
    <xf numFmtId="188" fontId="47" fillId="28" borderId="12" xfId="0" applyNumberFormat="1" applyFont="1" applyFill="1" applyBorder="1" applyAlignment="1">
      <alignment horizontal="center" vertical="center"/>
    </xf>
    <xf numFmtId="188" fontId="47" fillId="26" borderId="12" xfId="0" applyNumberFormat="1" applyFont="1" applyFill="1" applyBorder="1" applyAlignment="1">
      <alignment horizontal="center" vertical="center"/>
    </xf>
    <xf numFmtId="1" fontId="47" fillId="26" borderId="12" xfId="0" applyNumberFormat="1" applyFont="1" applyFill="1" applyBorder="1" applyAlignment="1">
      <alignment horizontal="center" vertical="center"/>
    </xf>
    <xf numFmtId="9" fontId="47" fillId="26" borderId="12" xfId="40" applyFont="1" applyFill="1" applyBorder="1" applyAlignment="1" applyProtection="1">
      <alignment horizontal="center" vertical="center"/>
    </xf>
    <xf numFmtId="1" fontId="53" fillId="26" borderId="12" xfId="0" applyNumberFormat="1" applyFont="1" applyFill="1" applyBorder="1" applyAlignment="1">
      <alignment horizontal="center" vertical="center"/>
    </xf>
    <xf numFmtId="0" fontId="47" fillId="26" borderId="12" xfId="0" applyFont="1" applyFill="1" applyBorder="1" applyAlignment="1">
      <alignment vertical="center"/>
    </xf>
    <xf numFmtId="0" fontId="47" fillId="26" borderId="12" xfId="0" applyFont="1" applyFill="1" applyBorder="1" applyAlignment="1">
      <alignment horizontal="left" vertical="center"/>
    </xf>
    <xf numFmtId="0" fontId="2" fillId="26" borderId="0" xfId="34" applyNumberFormat="1" applyFont="1" applyFill="1" applyBorder="1" applyAlignment="1" applyProtection="1"/>
    <xf numFmtId="0" fontId="1" fillId="26" borderId="0" xfId="0" applyFont="1" applyFill="1" applyProtection="1">
      <protection locked="0"/>
    </xf>
    <xf numFmtId="0" fontId="0" fillId="26" borderId="0" xfId="0" applyFill="1"/>
    <xf numFmtId="0" fontId="1" fillId="26" borderId="0" xfId="0" applyFont="1" applyFill="1"/>
    <xf numFmtId="0" fontId="42" fillId="26" borderId="10" xfId="0" applyFont="1" applyFill="1" applyBorder="1" applyAlignment="1">
      <alignment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121920</xdr:rowOff>
        </xdr:from>
        <xdr:to>
          <xdr:col>27</xdr:col>
          <xdr:colOff>106680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1"/>
          <a:ext cx="1504950" cy="3386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7" Type="http://schemas.openxmlformats.org/officeDocument/2006/relationships/comments" Target="../comments2.xm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33"/>
  <sheetViews>
    <sheetView showGridLines="0" tabSelected="1" zoomScale="70" zoomScaleNormal="70" workbookViewId="0">
      <pane ySplit="7" topLeftCell="A8" activePane="bottomLeft" state="frozen"/>
      <selection pane="bottomLeft" activeCell="CJ6" sqref="CJ6"/>
    </sheetView>
  </sheetViews>
  <sheetFormatPr defaultColWidth="9.109375" defaultRowHeight="13.2" x14ac:dyDescent="0.25"/>
  <cols>
    <col min="1" max="1" width="6.88671875" customWidth="1"/>
    <col min="2" max="2" width="19" customWidth="1"/>
    <col min="3" max="3" width="7.6640625" customWidth="1"/>
    <col min="4" max="4" width="6.88671875" hidden="1" customWidth="1"/>
    <col min="5" max="6" width="12" customWidth="1"/>
    <col min="7" max="7" width="6" customWidth="1"/>
    <col min="8" max="8" width="6.6640625" customWidth="1"/>
    <col min="9" max="9" width="6.44140625" customWidth="1"/>
    <col min="10" max="10" width="1.88671875" customWidth="1"/>
    <col min="11" max="45" width="2.44140625" customWidth="1"/>
    <col min="46" max="66" width="9.109375" style="144"/>
  </cols>
  <sheetData>
    <row r="1" spans="1:66" ht="30" customHeight="1" x14ac:dyDescent="0.25">
      <c r="A1" s="82"/>
      <c r="B1" s="29" t="s">
        <v>130</v>
      </c>
      <c r="C1" s="29"/>
      <c r="D1" s="29"/>
      <c r="E1" s="29"/>
      <c r="F1" s="29"/>
      <c r="I1" s="86"/>
      <c r="K1" s="118"/>
      <c r="L1" s="118"/>
      <c r="M1" s="118"/>
      <c r="N1" s="118"/>
      <c r="O1" s="118"/>
      <c r="P1" s="118"/>
      <c r="Q1" s="118"/>
      <c r="R1" s="118"/>
      <c r="S1" s="118"/>
      <c r="T1" s="118"/>
      <c r="U1" s="118"/>
      <c r="V1" s="118"/>
      <c r="W1" s="118"/>
      <c r="X1" s="118"/>
      <c r="Y1" s="118"/>
      <c r="Z1" s="118"/>
      <c r="AA1" s="118"/>
      <c r="AB1" s="118"/>
      <c r="AC1" s="118"/>
      <c r="AD1" s="118"/>
      <c r="AE1" s="118"/>
    </row>
    <row r="2" spans="1:66" ht="18" customHeight="1" x14ac:dyDescent="0.25">
      <c r="A2" s="31" t="s">
        <v>129</v>
      </c>
      <c r="B2" s="12"/>
      <c r="C2" s="12"/>
      <c r="D2" s="19"/>
      <c r="E2" s="110"/>
      <c r="F2" s="110"/>
      <c r="H2" s="1"/>
    </row>
    <row r="3" spans="1:66" ht="16.8" x14ac:dyDescent="0.25">
      <c r="A3" s="31"/>
      <c r="B3" s="2"/>
      <c r="H3" s="1"/>
      <c r="K3" s="18"/>
      <c r="L3" s="18"/>
      <c r="M3" s="18"/>
      <c r="N3" s="18"/>
      <c r="O3" s="18"/>
      <c r="P3" s="18"/>
      <c r="Q3" s="18"/>
      <c r="R3" s="18"/>
      <c r="S3" s="18"/>
      <c r="T3" s="18"/>
      <c r="U3" s="18"/>
      <c r="V3" s="18"/>
      <c r="W3" s="18"/>
      <c r="X3" s="18"/>
      <c r="Y3" s="18"/>
      <c r="Z3" s="18"/>
      <c r="AA3" s="18"/>
    </row>
    <row r="4" spans="1:66" ht="17.25" customHeight="1" x14ac:dyDescent="0.45">
      <c r="A4" s="72"/>
      <c r="B4" s="73" t="s">
        <v>67</v>
      </c>
      <c r="C4" s="120">
        <v>46257</v>
      </c>
      <c r="D4" s="120"/>
      <c r="E4" s="120"/>
      <c r="F4" s="72"/>
      <c r="G4" s="73" t="s">
        <v>66</v>
      </c>
      <c r="H4" s="85">
        <v>1</v>
      </c>
      <c r="I4" s="2"/>
      <c r="J4" s="30"/>
      <c r="K4" s="112" t="str">
        <f>"Week "&amp;(K6-($C$4-WEEKDAY($C$4,1)+2))/7+1</f>
        <v>Week 1</v>
      </c>
      <c r="L4" s="113"/>
      <c r="M4" s="113"/>
      <c r="N4" s="113"/>
      <c r="O4" s="113"/>
      <c r="P4" s="113"/>
      <c r="Q4" s="114"/>
      <c r="R4" s="112" t="str">
        <f>"Week "&amp;(R6-($C$4-WEEKDAY($C$4,1)+2))/7+1</f>
        <v>Week 2</v>
      </c>
      <c r="S4" s="113"/>
      <c r="T4" s="113"/>
      <c r="U4" s="113"/>
      <c r="V4" s="113"/>
      <c r="W4" s="113"/>
      <c r="X4" s="114"/>
      <c r="Y4" s="112" t="str">
        <f>"Week "&amp;(Y6-($C$4-WEEKDAY($C$4,1)+2))/7+1</f>
        <v>Week 3</v>
      </c>
      <c r="Z4" s="113"/>
      <c r="AA4" s="113"/>
      <c r="AB4" s="113"/>
      <c r="AC4" s="113"/>
      <c r="AD4" s="113"/>
      <c r="AE4" s="114"/>
      <c r="AF4" s="112" t="str">
        <f>"Week "&amp;(AF6-($C$4-WEEKDAY($C$4,1)+2))/7+1</f>
        <v>Week 4</v>
      </c>
      <c r="AG4" s="113"/>
      <c r="AH4" s="113"/>
      <c r="AI4" s="113"/>
      <c r="AJ4" s="113"/>
      <c r="AK4" s="113"/>
      <c r="AL4" s="114"/>
      <c r="AM4" s="112" t="str">
        <f>"Week "&amp;(AM6-($C$4-WEEKDAY($C$4,1)+2))/7+1</f>
        <v>Week 5</v>
      </c>
      <c r="AN4" s="113"/>
      <c r="AO4" s="113"/>
      <c r="AP4" s="113"/>
      <c r="AQ4" s="113"/>
      <c r="AR4" s="113"/>
      <c r="AS4" s="114"/>
    </row>
    <row r="5" spans="1:66" ht="17.25" customHeight="1" x14ac:dyDescent="0.45">
      <c r="A5" s="72"/>
      <c r="B5" s="73" t="s">
        <v>68</v>
      </c>
      <c r="C5" s="119" t="s">
        <v>128</v>
      </c>
      <c r="D5" s="119"/>
      <c r="E5" s="119"/>
      <c r="F5" s="72"/>
      <c r="G5" s="72"/>
      <c r="H5" s="72"/>
      <c r="I5" s="72"/>
      <c r="J5" s="30"/>
      <c r="K5" s="115">
        <f>K6</f>
        <v>46258</v>
      </c>
      <c r="L5" s="116"/>
      <c r="M5" s="116"/>
      <c r="N5" s="116"/>
      <c r="O5" s="116"/>
      <c r="P5" s="116"/>
      <c r="Q5" s="117"/>
      <c r="R5" s="115">
        <f>R6</f>
        <v>46265</v>
      </c>
      <c r="S5" s="116"/>
      <c r="T5" s="116"/>
      <c r="U5" s="116"/>
      <c r="V5" s="116"/>
      <c r="W5" s="116"/>
      <c r="X5" s="117"/>
      <c r="Y5" s="115">
        <f>Y6</f>
        <v>46272</v>
      </c>
      <c r="Z5" s="116"/>
      <c r="AA5" s="116"/>
      <c r="AB5" s="116"/>
      <c r="AC5" s="116"/>
      <c r="AD5" s="116"/>
      <c r="AE5" s="117"/>
      <c r="AF5" s="115">
        <f>AF6</f>
        <v>46279</v>
      </c>
      <c r="AG5" s="116"/>
      <c r="AH5" s="116"/>
      <c r="AI5" s="116"/>
      <c r="AJ5" s="116"/>
      <c r="AK5" s="116"/>
      <c r="AL5" s="117"/>
      <c r="AM5" s="115">
        <f>AM6</f>
        <v>46286</v>
      </c>
      <c r="AN5" s="116"/>
      <c r="AO5" s="116"/>
      <c r="AP5" s="116"/>
      <c r="AQ5" s="116"/>
      <c r="AR5" s="116"/>
      <c r="AS5" s="117"/>
    </row>
    <row r="6" spans="1:66" ht="15.6" x14ac:dyDescent="0.45">
      <c r="A6" s="30"/>
      <c r="B6" s="30"/>
      <c r="C6" s="30"/>
      <c r="D6" s="30"/>
      <c r="E6" s="30"/>
      <c r="F6" s="30"/>
      <c r="G6" s="30"/>
      <c r="H6" s="30"/>
      <c r="I6" s="30"/>
      <c r="J6" s="30"/>
      <c r="K6" s="59">
        <f>C4-WEEKDAY(C4,1)+2+7*(H4-1)</f>
        <v>46258</v>
      </c>
      <c r="L6" s="50">
        <f t="shared" ref="L6:AQ6" si="0">K6+1</f>
        <v>46259</v>
      </c>
      <c r="M6" s="50">
        <f t="shared" si="0"/>
        <v>46260</v>
      </c>
      <c r="N6" s="50">
        <f t="shared" si="0"/>
        <v>46261</v>
      </c>
      <c r="O6" s="50">
        <f t="shared" si="0"/>
        <v>46262</v>
      </c>
      <c r="P6" s="50">
        <f t="shared" si="0"/>
        <v>46263</v>
      </c>
      <c r="Q6" s="60">
        <f t="shared" si="0"/>
        <v>46264</v>
      </c>
      <c r="R6" s="59">
        <f t="shared" si="0"/>
        <v>46265</v>
      </c>
      <c r="S6" s="50">
        <f t="shared" si="0"/>
        <v>46266</v>
      </c>
      <c r="T6" s="50">
        <f t="shared" si="0"/>
        <v>46267</v>
      </c>
      <c r="U6" s="50">
        <f t="shared" si="0"/>
        <v>46268</v>
      </c>
      <c r="V6" s="50">
        <f t="shared" si="0"/>
        <v>46269</v>
      </c>
      <c r="W6" s="50">
        <f t="shared" si="0"/>
        <v>46270</v>
      </c>
      <c r="X6" s="60">
        <f t="shared" si="0"/>
        <v>46271</v>
      </c>
      <c r="Y6" s="59">
        <f t="shared" si="0"/>
        <v>46272</v>
      </c>
      <c r="Z6" s="50">
        <f t="shared" si="0"/>
        <v>46273</v>
      </c>
      <c r="AA6" s="50">
        <f t="shared" si="0"/>
        <v>46274</v>
      </c>
      <c r="AB6" s="50">
        <f t="shared" si="0"/>
        <v>46275</v>
      </c>
      <c r="AC6" s="50">
        <f t="shared" si="0"/>
        <v>46276</v>
      </c>
      <c r="AD6" s="50">
        <f t="shared" si="0"/>
        <v>46277</v>
      </c>
      <c r="AE6" s="60">
        <f t="shared" si="0"/>
        <v>46278</v>
      </c>
      <c r="AF6" s="59">
        <f t="shared" si="0"/>
        <v>46279</v>
      </c>
      <c r="AG6" s="50">
        <f t="shared" si="0"/>
        <v>46280</v>
      </c>
      <c r="AH6" s="50">
        <f t="shared" si="0"/>
        <v>46281</v>
      </c>
      <c r="AI6" s="50">
        <f t="shared" si="0"/>
        <v>46282</v>
      </c>
      <c r="AJ6" s="50">
        <f t="shared" si="0"/>
        <v>46283</v>
      </c>
      <c r="AK6" s="50">
        <f t="shared" si="0"/>
        <v>46284</v>
      </c>
      <c r="AL6" s="60">
        <f t="shared" si="0"/>
        <v>46285</v>
      </c>
      <c r="AM6" s="59">
        <f t="shared" si="0"/>
        <v>46286</v>
      </c>
      <c r="AN6" s="50">
        <f t="shared" si="0"/>
        <v>46287</v>
      </c>
      <c r="AO6" s="50">
        <f t="shared" si="0"/>
        <v>46288</v>
      </c>
      <c r="AP6" s="50">
        <f t="shared" si="0"/>
        <v>46289</v>
      </c>
      <c r="AQ6" s="50">
        <f t="shared" si="0"/>
        <v>46290</v>
      </c>
      <c r="AR6" s="50">
        <f t="shared" ref="AR6:AS6" si="1">AQ6+1</f>
        <v>46291</v>
      </c>
      <c r="AS6" s="60">
        <f t="shared" si="1"/>
        <v>46292</v>
      </c>
    </row>
    <row r="7" spans="1:66" s="2" customFormat="1" ht="27" thickBot="1" x14ac:dyDescent="0.3">
      <c r="A7" s="75" t="s">
        <v>0</v>
      </c>
      <c r="B7" s="75" t="s">
        <v>59</v>
      </c>
      <c r="C7" s="76" t="s">
        <v>60</v>
      </c>
      <c r="D7" s="77" t="s">
        <v>65</v>
      </c>
      <c r="E7" s="78" t="s">
        <v>61</v>
      </c>
      <c r="F7" s="78" t="s">
        <v>62</v>
      </c>
      <c r="G7" s="76" t="s">
        <v>63</v>
      </c>
      <c r="H7" s="76"/>
      <c r="I7" s="76" t="s">
        <v>64</v>
      </c>
      <c r="J7" s="76"/>
      <c r="K7" s="79" t="str">
        <f t="shared" ref="K7:AP7" si="2">CHOOSE(WEEKDAY(K6,1),"S","M","T","W","T","F","S")</f>
        <v>M</v>
      </c>
      <c r="L7" s="80" t="str">
        <f t="shared" si="2"/>
        <v>T</v>
      </c>
      <c r="M7" s="80" t="str">
        <f t="shared" si="2"/>
        <v>W</v>
      </c>
      <c r="N7" s="80" t="str">
        <f t="shared" si="2"/>
        <v>T</v>
      </c>
      <c r="O7" s="80" t="str">
        <f t="shared" si="2"/>
        <v>F</v>
      </c>
      <c r="P7" s="80" t="str">
        <f t="shared" si="2"/>
        <v>S</v>
      </c>
      <c r="Q7" s="81" t="str">
        <f t="shared" si="2"/>
        <v>S</v>
      </c>
      <c r="R7" s="79" t="str">
        <f t="shared" si="2"/>
        <v>M</v>
      </c>
      <c r="S7" s="80" t="str">
        <f t="shared" si="2"/>
        <v>T</v>
      </c>
      <c r="T7" s="80" t="str">
        <f t="shared" si="2"/>
        <v>W</v>
      </c>
      <c r="U7" s="80" t="str">
        <f t="shared" si="2"/>
        <v>T</v>
      </c>
      <c r="V7" s="80" t="str">
        <f t="shared" si="2"/>
        <v>F</v>
      </c>
      <c r="W7" s="80" t="str">
        <f t="shared" si="2"/>
        <v>S</v>
      </c>
      <c r="X7" s="81" t="str">
        <f t="shared" si="2"/>
        <v>S</v>
      </c>
      <c r="Y7" s="79" t="str">
        <f t="shared" si="2"/>
        <v>M</v>
      </c>
      <c r="Z7" s="80" t="str">
        <f t="shared" si="2"/>
        <v>T</v>
      </c>
      <c r="AA7" s="80" t="str">
        <f t="shared" si="2"/>
        <v>W</v>
      </c>
      <c r="AB7" s="80" t="str">
        <f t="shared" si="2"/>
        <v>T</v>
      </c>
      <c r="AC7" s="80" t="str">
        <f t="shared" si="2"/>
        <v>F</v>
      </c>
      <c r="AD7" s="80" t="str">
        <f t="shared" si="2"/>
        <v>S</v>
      </c>
      <c r="AE7" s="81" t="str">
        <f t="shared" si="2"/>
        <v>S</v>
      </c>
      <c r="AF7" s="79" t="str">
        <f t="shared" si="2"/>
        <v>M</v>
      </c>
      <c r="AG7" s="80" t="str">
        <f t="shared" si="2"/>
        <v>T</v>
      </c>
      <c r="AH7" s="80" t="str">
        <f t="shared" si="2"/>
        <v>W</v>
      </c>
      <c r="AI7" s="80" t="str">
        <f t="shared" si="2"/>
        <v>T</v>
      </c>
      <c r="AJ7" s="80" t="str">
        <f t="shared" si="2"/>
        <v>F</v>
      </c>
      <c r="AK7" s="80" t="str">
        <f t="shared" si="2"/>
        <v>S</v>
      </c>
      <c r="AL7" s="81" t="str">
        <f t="shared" si="2"/>
        <v>S</v>
      </c>
      <c r="AM7" s="79" t="str">
        <f t="shared" si="2"/>
        <v>M</v>
      </c>
      <c r="AN7" s="80" t="str">
        <f t="shared" si="2"/>
        <v>T</v>
      </c>
      <c r="AO7" s="80" t="str">
        <f t="shared" si="2"/>
        <v>W</v>
      </c>
      <c r="AP7" s="80" t="str">
        <f t="shared" si="2"/>
        <v>T</v>
      </c>
      <c r="AQ7" s="80" t="str">
        <f t="shared" ref="AQ7:AS7" si="3">CHOOSE(WEEKDAY(AQ6,1),"S","M","T","W","T","F","S")</f>
        <v>F</v>
      </c>
      <c r="AR7" s="80" t="str">
        <f t="shared" si="3"/>
        <v>S</v>
      </c>
      <c r="AS7" s="81" t="str">
        <f t="shared" si="3"/>
        <v>S</v>
      </c>
      <c r="AT7" s="145"/>
      <c r="AU7" s="145"/>
      <c r="AV7" s="145"/>
      <c r="AW7" s="145"/>
      <c r="AX7" s="145"/>
      <c r="AY7" s="145"/>
      <c r="AZ7" s="145"/>
      <c r="BA7" s="145"/>
      <c r="BB7" s="145"/>
      <c r="BC7" s="145"/>
      <c r="BD7" s="145"/>
      <c r="BE7" s="145"/>
      <c r="BF7" s="145"/>
      <c r="BG7" s="145"/>
      <c r="BH7" s="145"/>
      <c r="BI7" s="145"/>
      <c r="BJ7" s="145"/>
      <c r="BK7" s="145"/>
      <c r="BL7" s="145"/>
      <c r="BM7" s="145"/>
      <c r="BN7" s="145"/>
    </row>
    <row r="8" spans="1:66" s="34" customFormat="1" ht="21" x14ac:dyDescent="0.25">
      <c r="A8" s="51" t="str">
        <f>IF(ISERROR(VALUE(SUBSTITUTE(prevWBS,".",""))),"1",IF(ISERROR(FIND("`",SUBSTITUTE(prevWBS,".","`",1))),TEXT(VALUE(prevWBS)+1,"#"),TEXT(VALUE(LEFT(prevWBS,FIND("`",SUBSTITUTE(prevWBS,".","`",1))-1))+1,"#")))</f>
        <v>1</v>
      </c>
      <c r="B8" s="52" t="s">
        <v>131</v>
      </c>
      <c r="C8" s="53"/>
      <c r="D8" s="54"/>
      <c r="E8" s="55"/>
      <c r="F8" s="74" t="str">
        <f>IF(ISBLANK(E8)," - ",IF(G8=0,E8,E8+G8-1))</f>
        <v xml:space="preserve"> - </v>
      </c>
      <c r="G8" s="56"/>
      <c r="H8" s="57"/>
      <c r="I8" s="58" t="str">
        <f t="shared" ref="I8:I24" si="4">IF(OR(F8=0,E8=0)," - ",NETWORKDAYS(E8,F8))</f>
        <v xml:space="preserve"> - </v>
      </c>
      <c r="J8" s="61"/>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146"/>
      <c r="AU8" s="146"/>
      <c r="AV8" s="146"/>
      <c r="AW8" s="146"/>
      <c r="AX8" s="146"/>
      <c r="AY8" s="146"/>
      <c r="AZ8" s="146"/>
      <c r="BA8" s="146"/>
      <c r="BB8" s="146"/>
      <c r="BC8" s="146"/>
      <c r="BD8" s="146"/>
      <c r="BE8" s="146"/>
      <c r="BF8" s="146"/>
      <c r="BG8" s="146"/>
      <c r="BH8" s="146"/>
      <c r="BI8" s="146"/>
      <c r="BJ8" s="146"/>
      <c r="BK8" s="146"/>
      <c r="BL8" s="146"/>
      <c r="BM8" s="146"/>
      <c r="BN8" s="146"/>
    </row>
    <row r="9" spans="1:66" s="40" customFormat="1" ht="21" x14ac:dyDescent="0.25">
      <c r="A9" s="39" t="str">
        <f t="shared" ref="A9:A11"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3" t="s">
        <v>132</v>
      </c>
      <c r="C9" s="40" t="s">
        <v>135</v>
      </c>
      <c r="D9" s="84"/>
      <c r="E9" s="65">
        <v>46257</v>
      </c>
      <c r="F9" s="66">
        <f>IF(ISBLANK(E9)," - ",IF(G9=0,E9,E9+G9-1))</f>
        <v>46257</v>
      </c>
      <c r="G9" s="41">
        <v>1</v>
      </c>
      <c r="H9" s="42"/>
      <c r="I9" s="43">
        <f t="shared" si="4"/>
        <v>0</v>
      </c>
      <c r="J9" s="62"/>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146"/>
      <c r="AU9" s="146"/>
      <c r="AV9" s="146"/>
      <c r="AW9" s="146"/>
      <c r="AX9" s="146"/>
      <c r="AY9" s="146"/>
      <c r="AZ9" s="146"/>
      <c r="BA9" s="146"/>
      <c r="BB9" s="146"/>
      <c r="BC9" s="146"/>
      <c r="BD9" s="146"/>
      <c r="BE9" s="146"/>
      <c r="BF9" s="146"/>
      <c r="BG9" s="146"/>
      <c r="BH9" s="146"/>
      <c r="BI9" s="146"/>
      <c r="BJ9" s="146"/>
      <c r="BK9" s="146"/>
      <c r="BL9" s="146"/>
      <c r="BM9" s="146"/>
      <c r="BN9" s="146"/>
    </row>
    <row r="10" spans="1:66" s="40" customFormat="1" ht="21" x14ac:dyDescent="0.25">
      <c r="A10" s="39" t="str">
        <f t="shared" si="5"/>
        <v>1.2</v>
      </c>
      <c r="B10" s="83" t="s">
        <v>133</v>
      </c>
      <c r="C10" s="40" t="s">
        <v>136</v>
      </c>
      <c r="D10" s="84"/>
      <c r="E10" s="65">
        <v>46257</v>
      </c>
      <c r="F10" s="66">
        <f t="shared" ref="F10:F24" si="6">IF(ISBLANK(E10)," - ",IF(G10=0,E10,E10+G10-1))</f>
        <v>46257</v>
      </c>
      <c r="G10" s="41">
        <v>1</v>
      </c>
      <c r="H10" s="42"/>
      <c r="I10" s="43">
        <f t="shared" si="4"/>
        <v>0</v>
      </c>
      <c r="J10" s="62"/>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146"/>
      <c r="AU10" s="146"/>
      <c r="AV10" s="146"/>
      <c r="AW10" s="146"/>
      <c r="AX10" s="146"/>
      <c r="AY10" s="146"/>
      <c r="AZ10" s="146"/>
      <c r="BA10" s="146"/>
      <c r="BB10" s="146"/>
      <c r="BC10" s="146"/>
      <c r="BD10" s="146"/>
      <c r="BE10" s="146"/>
      <c r="BF10" s="146"/>
      <c r="BG10" s="146"/>
      <c r="BH10" s="146"/>
      <c r="BI10" s="146"/>
      <c r="BJ10" s="146"/>
      <c r="BK10" s="146"/>
      <c r="BL10" s="146"/>
      <c r="BM10" s="146"/>
      <c r="BN10" s="146"/>
    </row>
    <row r="11" spans="1:66" s="40" customFormat="1" ht="21" x14ac:dyDescent="0.25">
      <c r="A11" s="39" t="str">
        <f t="shared" si="5"/>
        <v>1.3</v>
      </c>
      <c r="B11" s="83" t="s">
        <v>134</v>
      </c>
      <c r="C11" s="40" t="s">
        <v>135</v>
      </c>
      <c r="D11" s="84"/>
      <c r="E11" s="65">
        <v>46257</v>
      </c>
      <c r="F11" s="66">
        <f t="shared" si="6"/>
        <v>46258</v>
      </c>
      <c r="G11" s="41">
        <v>2</v>
      </c>
      <c r="H11" s="42"/>
      <c r="I11" s="43">
        <f t="shared" si="4"/>
        <v>1</v>
      </c>
      <c r="J11" s="62"/>
      <c r="K11" s="39"/>
      <c r="L11" s="39"/>
      <c r="M11" s="70"/>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146"/>
      <c r="AU11" s="146"/>
      <c r="AV11" s="146"/>
      <c r="AW11" s="146"/>
      <c r="AX11" s="146"/>
      <c r="AY11" s="146"/>
      <c r="AZ11" s="146"/>
      <c r="BA11" s="146"/>
      <c r="BB11" s="146"/>
      <c r="BC11" s="146"/>
      <c r="BD11" s="146"/>
      <c r="BE11" s="146"/>
      <c r="BF11" s="146"/>
      <c r="BG11" s="146"/>
      <c r="BH11" s="146"/>
      <c r="BI11" s="146"/>
      <c r="BJ11" s="146"/>
      <c r="BK11" s="146"/>
      <c r="BL11" s="146"/>
      <c r="BM11" s="146"/>
      <c r="BN11" s="146"/>
    </row>
    <row r="12" spans="1:66" s="34" customFormat="1" ht="21" x14ac:dyDescent="0.25">
      <c r="A12" s="32" t="str">
        <f>IF(ISERROR(VALUE(SUBSTITUTE(prevWBS,".",""))),"1",IF(ISERROR(FIND("`",SUBSTITUTE(prevWBS,".","`",1))),TEXT(VALUE(prevWBS)+1,"#"),TEXT(VALUE(LEFT(prevWBS,FIND("`",SUBSTITUTE(prevWBS,".","`",1))-1))+1,"#")))</f>
        <v>2</v>
      </c>
      <c r="B12" s="33" t="s">
        <v>137</v>
      </c>
      <c r="D12" s="35"/>
      <c r="E12" s="67"/>
      <c r="F12" s="67" t="str">
        <f t="shared" si="6"/>
        <v xml:space="preserve"> - </v>
      </c>
      <c r="G12" s="36"/>
      <c r="H12" s="37"/>
      <c r="I12" s="38" t="str">
        <f t="shared" si="4"/>
        <v xml:space="preserve"> - </v>
      </c>
      <c r="J12" s="63"/>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146"/>
      <c r="AU12" s="146"/>
      <c r="AV12" s="146"/>
      <c r="AW12" s="146"/>
      <c r="AX12" s="146"/>
      <c r="AY12" s="146"/>
      <c r="AZ12" s="146"/>
      <c r="BA12" s="146"/>
      <c r="BB12" s="146"/>
      <c r="BC12" s="146"/>
      <c r="BD12" s="146"/>
      <c r="BE12" s="146"/>
      <c r="BF12" s="146"/>
      <c r="BG12" s="146"/>
      <c r="BH12" s="146"/>
      <c r="BI12" s="146"/>
      <c r="BJ12" s="146"/>
      <c r="BK12" s="146"/>
      <c r="BL12" s="146"/>
      <c r="BM12" s="146"/>
      <c r="BN12" s="146"/>
    </row>
    <row r="13" spans="1:66" s="40" customFormat="1" ht="21" x14ac:dyDescent="0.25">
      <c r="A13"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3" s="83" t="s">
        <v>138</v>
      </c>
      <c r="C13" s="40" t="s">
        <v>136</v>
      </c>
      <c r="D13" s="84"/>
      <c r="E13" s="65">
        <v>46258</v>
      </c>
      <c r="F13" s="66">
        <f t="shared" si="6"/>
        <v>46264</v>
      </c>
      <c r="G13" s="41">
        <v>7</v>
      </c>
      <c r="H13" s="42"/>
      <c r="I13" s="43">
        <f t="shared" si="4"/>
        <v>5</v>
      </c>
      <c r="J13" s="62"/>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146"/>
      <c r="AU13" s="146"/>
      <c r="AV13" s="146"/>
      <c r="AW13" s="146"/>
      <c r="AX13" s="146"/>
      <c r="AY13" s="146"/>
      <c r="AZ13" s="146"/>
      <c r="BA13" s="146"/>
      <c r="BB13" s="146"/>
      <c r="BC13" s="146"/>
      <c r="BD13" s="146"/>
      <c r="BE13" s="146"/>
      <c r="BF13" s="146"/>
      <c r="BG13" s="146"/>
      <c r="BH13" s="146"/>
      <c r="BI13" s="146"/>
      <c r="BJ13" s="146"/>
      <c r="BK13" s="146"/>
      <c r="BL13" s="146"/>
      <c r="BM13" s="146"/>
      <c r="BN13" s="146"/>
    </row>
    <row r="14" spans="1:66" s="40" customFormat="1" ht="21" x14ac:dyDescent="0.25">
      <c r="A14"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4" s="83" t="s">
        <v>139</v>
      </c>
      <c r="C14" s="40" t="s">
        <v>136</v>
      </c>
      <c r="D14" s="84"/>
      <c r="E14" s="65">
        <v>46258</v>
      </c>
      <c r="F14" s="66">
        <f t="shared" si="6"/>
        <v>46270</v>
      </c>
      <c r="G14" s="41">
        <v>13</v>
      </c>
      <c r="H14" s="42"/>
      <c r="I14" s="43">
        <f t="shared" si="4"/>
        <v>10</v>
      </c>
      <c r="J14" s="62"/>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146"/>
      <c r="AU14" s="146"/>
      <c r="AV14" s="146"/>
      <c r="AW14" s="146"/>
      <c r="AX14" s="146"/>
      <c r="AY14" s="146"/>
      <c r="AZ14" s="146"/>
      <c r="BA14" s="146"/>
      <c r="BB14" s="146"/>
      <c r="BC14" s="146"/>
      <c r="BD14" s="146"/>
      <c r="BE14" s="146"/>
      <c r="BF14" s="146"/>
      <c r="BG14" s="146"/>
      <c r="BH14" s="146"/>
      <c r="BI14" s="146"/>
      <c r="BJ14" s="146"/>
      <c r="BK14" s="146"/>
      <c r="BL14" s="146"/>
      <c r="BM14" s="146"/>
      <c r="BN14" s="146"/>
    </row>
    <row r="15" spans="1:66" s="40" customFormat="1" ht="21" x14ac:dyDescent="0.25">
      <c r="A15"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5" s="83" t="s">
        <v>141</v>
      </c>
      <c r="C15" s="40" t="s">
        <v>136</v>
      </c>
      <c r="D15" s="84"/>
      <c r="E15" s="65">
        <v>46270</v>
      </c>
      <c r="F15" s="66">
        <f t="shared" si="6"/>
        <v>46272</v>
      </c>
      <c r="G15" s="41">
        <v>3</v>
      </c>
      <c r="H15" s="42"/>
      <c r="I15" s="43">
        <f t="shared" si="4"/>
        <v>1</v>
      </c>
      <c r="J15" s="62"/>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146"/>
      <c r="AU15" s="146"/>
      <c r="AV15" s="146"/>
      <c r="AW15" s="146"/>
      <c r="AX15" s="146"/>
      <c r="AY15" s="146"/>
      <c r="AZ15" s="146"/>
      <c r="BA15" s="146"/>
      <c r="BB15" s="146"/>
      <c r="BC15" s="146"/>
      <c r="BD15" s="146"/>
      <c r="BE15" s="146"/>
      <c r="BF15" s="146"/>
      <c r="BG15" s="146"/>
      <c r="BH15" s="146"/>
      <c r="BI15" s="146"/>
      <c r="BJ15" s="146"/>
      <c r="BK15" s="146"/>
      <c r="BL15" s="146"/>
      <c r="BM15" s="146"/>
      <c r="BN15" s="146"/>
    </row>
    <row r="16" spans="1:66" s="40" customFormat="1" ht="21" x14ac:dyDescent="0.25">
      <c r="A16"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16" s="83" t="s">
        <v>140</v>
      </c>
      <c r="C16" s="40" t="s">
        <v>136</v>
      </c>
      <c r="D16" s="84"/>
      <c r="E16" s="65">
        <v>46277</v>
      </c>
      <c r="F16" s="66">
        <f t="shared" si="6"/>
        <v>46284</v>
      </c>
      <c r="G16" s="41">
        <v>8</v>
      </c>
      <c r="H16" s="42"/>
      <c r="I16" s="43">
        <f t="shared" si="4"/>
        <v>5</v>
      </c>
      <c r="J16" s="62"/>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146"/>
      <c r="AU16" s="146"/>
      <c r="AV16" s="146"/>
      <c r="AW16" s="146"/>
      <c r="AX16" s="146"/>
      <c r="AY16" s="146"/>
      <c r="AZ16" s="146"/>
      <c r="BA16" s="146"/>
      <c r="BB16" s="146"/>
      <c r="BC16" s="146"/>
      <c r="BD16" s="146"/>
      <c r="BE16" s="146"/>
      <c r="BF16" s="146"/>
      <c r="BG16" s="146"/>
      <c r="BH16" s="146"/>
      <c r="BI16" s="146"/>
      <c r="BJ16" s="146"/>
      <c r="BK16" s="146"/>
      <c r="BL16" s="146"/>
      <c r="BM16" s="146"/>
      <c r="BN16" s="146"/>
    </row>
    <row r="17" spans="1:66" s="34" customFormat="1" ht="21" x14ac:dyDescent="0.25">
      <c r="A17" s="32" t="str">
        <f>IF(ISERROR(VALUE(SUBSTITUTE(prevWBS,".",""))),"1",IF(ISERROR(FIND("`",SUBSTITUTE(prevWBS,".","`",1))),TEXT(VALUE(prevWBS)+1,"#"),TEXT(VALUE(LEFT(prevWBS,FIND("`",SUBSTITUTE(prevWBS,".","`",1))-1))+1,"#")))</f>
        <v>3</v>
      </c>
      <c r="B17" s="33" t="s">
        <v>142</v>
      </c>
      <c r="D17" s="35"/>
      <c r="E17" s="67"/>
      <c r="F17" s="67" t="str">
        <f t="shared" si="6"/>
        <v xml:space="preserve"> - </v>
      </c>
      <c r="G17" s="36"/>
      <c r="H17" s="37"/>
      <c r="I17" s="38" t="str">
        <f t="shared" si="4"/>
        <v xml:space="preserve"> - </v>
      </c>
      <c r="J17" s="63"/>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146"/>
      <c r="AU17" s="146"/>
      <c r="AV17" s="146"/>
      <c r="AW17" s="146"/>
      <c r="AX17" s="146"/>
      <c r="AY17" s="146"/>
      <c r="AZ17" s="146"/>
      <c r="BA17" s="146"/>
      <c r="BB17" s="146"/>
      <c r="BC17" s="146"/>
      <c r="BD17" s="146"/>
      <c r="BE17" s="146"/>
      <c r="BF17" s="146"/>
      <c r="BG17" s="146"/>
      <c r="BH17" s="146"/>
      <c r="BI17" s="146"/>
      <c r="BJ17" s="146"/>
      <c r="BK17" s="146"/>
      <c r="BL17" s="146"/>
      <c r="BM17" s="146"/>
      <c r="BN17" s="146"/>
    </row>
    <row r="18" spans="1:66" s="40" customFormat="1" ht="21" x14ac:dyDescent="0.25">
      <c r="A18"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8" s="83" t="s">
        <v>143</v>
      </c>
      <c r="C18" s="40" t="s">
        <v>135</v>
      </c>
      <c r="D18" s="84"/>
      <c r="E18" s="65">
        <v>46258</v>
      </c>
      <c r="F18" s="66">
        <f t="shared" si="6"/>
        <v>46259</v>
      </c>
      <c r="G18" s="41">
        <v>2</v>
      </c>
      <c r="H18" s="42"/>
      <c r="I18" s="43">
        <f t="shared" si="4"/>
        <v>2</v>
      </c>
      <c r="J18" s="62"/>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146"/>
      <c r="AU18" s="146"/>
      <c r="AV18" s="146"/>
      <c r="AW18" s="146"/>
      <c r="AX18" s="146"/>
      <c r="AY18" s="146"/>
      <c r="AZ18" s="146"/>
      <c r="BA18" s="146"/>
      <c r="BB18" s="146"/>
      <c r="BC18" s="146"/>
      <c r="BD18" s="146"/>
      <c r="BE18" s="146"/>
      <c r="BF18" s="146"/>
      <c r="BG18" s="146"/>
      <c r="BH18" s="146"/>
      <c r="BI18" s="146"/>
      <c r="BJ18" s="146"/>
      <c r="BK18" s="146"/>
      <c r="BL18" s="146"/>
      <c r="BM18" s="146"/>
      <c r="BN18" s="146"/>
    </row>
    <row r="19" spans="1:66" s="40" customFormat="1" ht="21" x14ac:dyDescent="0.25">
      <c r="A19"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19" s="83" t="s">
        <v>144</v>
      </c>
      <c r="C19" s="40" t="s">
        <v>135</v>
      </c>
      <c r="D19" s="84"/>
      <c r="E19" s="65">
        <v>46274</v>
      </c>
      <c r="F19" s="66">
        <f>IF(ISBLANK(E19)," - ",IF(G19=0,E19,E19+G19-1))</f>
        <v>46274</v>
      </c>
      <c r="G19" s="41">
        <v>1</v>
      </c>
      <c r="H19" s="42"/>
      <c r="I19" s="43">
        <f t="shared" si="4"/>
        <v>1</v>
      </c>
      <c r="J19" s="62"/>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146"/>
      <c r="AU19" s="146"/>
      <c r="AV19" s="146"/>
      <c r="AW19" s="146"/>
      <c r="AX19" s="146"/>
      <c r="AY19" s="146"/>
      <c r="AZ19" s="146"/>
      <c r="BA19" s="146"/>
      <c r="BB19" s="146"/>
      <c r="BC19" s="146"/>
      <c r="BD19" s="146"/>
      <c r="BE19" s="146"/>
      <c r="BF19" s="146"/>
      <c r="BG19" s="146"/>
      <c r="BH19" s="146"/>
      <c r="BI19" s="146"/>
      <c r="BJ19" s="146"/>
      <c r="BK19" s="146"/>
      <c r="BL19" s="146"/>
      <c r="BM19" s="146"/>
      <c r="BN19" s="146"/>
    </row>
    <row r="20" spans="1:66" s="40" customFormat="1" ht="21" x14ac:dyDescent="0.25">
      <c r="A20"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0" s="83" t="s">
        <v>145</v>
      </c>
      <c r="C20" s="40" t="s">
        <v>135</v>
      </c>
      <c r="D20" s="84"/>
      <c r="E20" s="65">
        <v>46274</v>
      </c>
      <c r="F20" s="66">
        <f>IF(ISBLANK(E20)," - ",IF(G20=0,E20,E20+G20-1))</f>
        <v>46287</v>
      </c>
      <c r="G20" s="41">
        <v>14</v>
      </c>
      <c r="H20" s="42"/>
      <c r="I20" s="43">
        <f t="shared" si="4"/>
        <v>10</v>
      </c>
      <c r="J20" s="62"/>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146"/>
      <c r="AU20" s="146"/>
      <c r="AV20" s="146"/>
      <c r="AW20" s="146"/>
      <c r="AX20" s="146"/>
      <c r="AY20" s="146"/>
      <c r="AZ20" s="146"/>
      <c r="BA20" s="146"/>
      <c r="BB20" s="146"/>
      <c r="BC20" s="146"/>
      <c r="BD20" s="146"/>
      <c r="BE20" s="146"/>
      <c r="BF20" s="146"/>
      <c r="BG20" s="146"/>
      <c r="BH20" s="146"/>
      <c r="BI20" s="146"/>
      <c r="BJ20" s="146"/>
      <c r="BK20" s="146"/>
      <c r="BL20" s="146"/>
      <c r="BM20" s="146"/>
      <c r="BN20" s="146"/>
    </row>
    <row r="21" spans="1:66" s="34" customFormat="1" ht="21" x14ac:dyDescent="0.25">
      <c r="A21" s="32" t="str">
        <f>IF(ISERROR(VALUE(SUBSTITUTE(prevWBS,".",""))),"1",IF(ISERROR(FIND("`",SUBSTITUTE(prevWBS,".","`",1))),TEXT(VALUE(prevWBS)+1,"#"),TEXT(VALUE(LEFT(prevWBS,FIND("`",SUBSTITUTE(prevWBS,".","`",1))-1))+1,"#")))</f>
        <v>4</v>
      </c>
      <c r="B21" s="33" t="s">
        <v>146</v>
      </c>
      <c r="D21" s="35"/>
      <c r="E21" s="67"/>
      <c r="F21" s="67" t="str">
        <f t="shared" si="6"/>
        <v xml:space="preserve"> - </v>
      </c>
      <c r="G21" s="36"/>
      <c r="H21" s="37"/>
      <c r="I21" s="38" t="str">
        <f t="shared" si="4"/>
        <v xml:space="preserve"> - </v>
      </c>
      <c r="J21" s="63"/>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146"/>
      <c r="AU21" s="146"/>
      <c r="AV21" s="146"/>
      <c r="AW21" s="146"/>
      <c r="AX21" s="146"/>
      <c r="AY21" s="146"/>
      <c r="AZ21" s="146"/>
      <c r="BA21" s="146"/>
      <c r="BB21" s="146"/>
      <c r="BC21" s="146"/>
      <c r="BD21" s="146"/>
      <c r="BE21" s="146"/>
      <c r="BF21" s="146"/>
      <c r="BG21" s="146"/>
      <c r="BH21" s="146"/>
      <c r="BI21" s="146"/>
      <c r="BJ21" s="146"/>
      <c r="BK21" s="146"/>
      <c r="BL21" s="146"/>
      <c r="BM21" s="146"/>
      <c r="BN21" s="146"/>
    </row>
    <row r="22" spans="1:66" s="40" customFormat="1" ht="21" x14ac:dyDescent="0.25">
      <c r="A22"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2" s="83" t="s">
        <v>147</v>
      </c>
      <c r="D22" s="84"/>
      <c r="E22" s="65">
        <v>46288</v>
      </c>
      <c r="F22" s="66">
        <f t="shared" si="6"/>
        <v>46288</v>
      </c>
      <c r="G22" s="41">
        <v>1</v>
      </c>
      <c r="H22" s="42"/>
      <c r="I22" s="43">
        <f t="shared" si="4"/>
        <v>1</v>
      </c>
      <c r="J22" s="62"/>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146"/>
      <c r="AU22" s="146"/>
      <c r="AV22" s="146"/>
      <c r="AW22" s="146"/>
      <c r="AX22" s="146"/>
      <c r="AY22" s="146"/>
      <c r="AZ22" s="146"/>
      <c r="BA22" s="146"/>
      <c r="BB22" s="146"/>
      <c r="BC22" s="146"/>
      <c r="BD22" s="146"/>
      <c r="BE22" s="146"/>
      <c r="BF22" s="146"/>
      <c r="BG22" s="146"/>
      <c r="BH22" s="146"/>
      <c r="BI22" s="146"/>
      <c r="BJ22" s="146"/>
      <c r="BK22" s="146"/>
      <c r="BL22" s="146"/>
      <c r="BM22" s="146"/>
      <c r="BN22" s="146"/>
    </row>
    <row r="23" spans="1:66" s="40" customFormat="1" ht="21" x14ac:dyDescent="0.25">
      <c r="A23"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3" s="83" t="s">
        <v>148</v>
      </c>
      <c r="D23" s="84"/>
      <c r="E23" s="65">
        <v>46289</v>
      </c>
      <c r="F23" s="66">
        <f t="shared" si="6"/>
        <v>46289</v>
      </c>
      <c r="G23" s="41">
        <v>1</v>
      </c>
      <c r="H23" s="42"/>
      <c r="I23" s="43">
        <f t="shared" si="4"/>
        <v>1</v>
      </c>
      <c r="J23" s="62"/>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146"/>
      <c r="AU23" s="146"/>
      <c r="AV23" s="146"/>
      <c r="AW23" s="146"/>
      <c r="AX23" s="146"/>
      <c r="AY23" s="146"/>
      <c r="AZ23" s="146"/>
      <c r="BA23" s="146"/>
      <c r="BB23" s="146"/>
      <c r="BC23" s="146"/>
      <c r="BD23" s="146"/>
      <c r="BE23" s="146"/>
      <c r="BF23" s="146"/>
      <c r="BG23" s="146"/>
      <c r="BH23" s="146"/>
      <c r="BI23" s="146"/>
      <c r="BJ23" s="146"/>
      <c r="BK23" s="146"/>
      <c r="BL23" s="146"/>
      <c r="BM23" s="146"/>
      <c r="BN23" s="146"/>
    </row>
    <row r="24" spans="1:66" s="40" customFormat="1" ht="21" x14ac:dyDescent="0.25">
      <c r="A24" s="3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4" s="83" t="s">
        <v>149</v>
      </c>
      <c r="D24" s="84"/>
      <c r="E24" s="65">
        <v>46289</v>
      </c>
      <c r="F24" s="66">
        <f t="shared" si="6"/>
        <v>46289</v>
      </c>
      <c r="G24" s="41">
        <v>1</v>
      </c>
      <c r="H24" s="42"/>
      <c r="I24" s="43">
        <f t="shared" si="4"/>
        <v>1</v>
      </c>
      <c r="J24" s="62"/>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146"/>
      <c r="AU24" s="146"/>
      <c r="AV24" s="146"/>
      <c r="AW24" s="146"/>
      <c r="AX24" s="146"/>
      <c r="AY24" s="146"/>
      <c r="AZ24" s="146"/>
      <c r="BA24" s="146"/>
      <c r="BB24" s="146"/>
      <c r="BC24" s="146"/>
      <c r="BD24" s="146"/>
      <c r="BE24" s="146"/>
      <c r="BF24" s="146"/>
      <c r="BG24" s="146"/>
      <c r="BH24" s="146"/>
      <c r="BI24" s="146"/>
      <c r="BJ24" s="146"/>
      <c r="BK24" s="146"/>
      <c r="BL24" s="146"/>
      <c r="BM24" s="146"/>
      <c r="BN24" s="146"/>
    </row>
    <row r="25" spans="1:66" s="49" customFormat="1" ht="21" x14ac:dyDescent="0.25">
      <c r="A25" s="39"/>
      <c r="B25" s="44"/>
      <c r="C25" s="44"/>
      <c r="D25" s="45"/>
      <c r="E25" s="68"/>
      <c r="F25" s="68"/>
      <c r="G25" s="46"/>
      <c r="H25" s="47"/>
      <c r="I25" s="48"/>
      <c r="J25" s="64"/>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129"/>
      <c r="AU25" s="129"/>
      <c r="AV25" s="129"/>
      <c r="AW25" s="129"/>
      <c r="AX25" s="129"/>
      <c r="AY25" s="129"/>
      <c r="AZ25" s="129"/>
      <c r="BA25" s="129"/>
      <c r="BB25" s="129"/>
      <c r="BC25" s="129"/>
      <c r="BD25" s="129"/>
      <c r="BE25" s="129"/>
      <c r="BF25" s="129"/>
      <c r="BG25" s="129"/>
      <c r="BH25" s="129"/>
      <c r="BI25" s="129"/>
      <c r="BJ25" s="129"/>
      <c r="BK25" s="129"/>
      <c r="BL25" s="129"/>
      <c r="BM25" s="129"/>
      <c r="BN25" s="129"/>
    </row>
    <row r="26" spans="1:66" s="49" customFormat="1" ht="21" x14ac:dyDescent="0.25">
      <c r="A26" s="39"/>
      <c r="B26" s="44"/>
      <c r="C26" s="44"/>
      <c r="D26" s="45"/>
      <c r="E26" s="68"/>
      <c r="F26" s="68"/>
      <c r="G26" s="46"/>
      <c r="H26" s="47"/>
      <c r="I26" s="48"/>
      <c r="J26" s="64"/>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129"/>
      <c r="AU26" s="129"/>
      <c r="AV26" s="129"/>
      <c r="AW26" s="129"/>
      <c r="AX26" s="129"/>
      <c r="AY26" s="129"/>
      <c r="AZ26" s="129"/>
      <c r="BA26" s="129"/>
      <c r="BB26" s="129"/>
      <c r="BC26" s="129"/>
      <c r="BD26" s="129"/>
      <c r="BE26" s="129"/>
      <c r="BF26" s="129"/>
      <c r="BG26" s="129"/>
      <c r="BH26" s="129"/>
      <c r="BI26" s="129"/>
      <c r="BJ26" s="129"/>
      <c r="BK26" s="129"/>
      <c r="BL26" s="129"/>
      <c r="BM26" s="129"/>
      <c r="BN26" s="129"/>
    </row>
    <row r="27" spans="1:66" s="125" customFormat="1" ht="21" x14ac:dyDescent="0.25">
      <c r="A27" s="122"/>
      <c r="B27" s="123"/>
      <c r="C27" s="122"/>
      <c r="D27" s="122"/>
      <c r="E27" s="124"/>
      <c r="F27" s="124"/>
      <c r="J27" s="126"/>
      <c r="K27" s="127"/>
      <c r="L27" s="127"/>
      <c r="M27" s="127"/>
      <c r="N27" s="127"/>
      <c r="O27" s="127"/>
      <c r="P27" s="127"/>
      <c r="Q27" s="127"/>
      <c r="R27" s="127"/>
      <c r="S27" s="127"/>
      <c r="T27" s="127"/>
      <c r="U27" s="127"/>
      <c r="V27" s="127"/>
      <c r="W27" s="127"/>
      <c r="X27" s="127"/>
      <c r="Y27" s="127"/>
      <c r="Z27" s="127"/>
      <c r="AA27" s="127"/>
      <c r="AB27" s="127"/>
      <c r="AC27" s="127"/>
      <c r="AD27" s="127"/>
      <c r="AE27" s="127"/>
      <c r="AF27" s="127"/>
      <c r="AG27" s="127"/>
      <c r="AH27" s="127"/>
      <c r="AI27" s="127"/>
      <c r="AJ27" s="127"/>
      <c r="AK27" s="127"/>
      <c r="AL27" s="127"/>
      <c r="AM27" s="127"/>
      <c r="AN27" s="127"/>
      <c r="AO27" s="127"/>
      <c r="AP27" s="127"/>
      <c r="AQ27" s="127"/>
      <c r="AR27" s="127"/>
      <c r="AS27" s="127"/>
    </row>
    <row r="28" spans="1:66" s="129" customFormat="1" ht="21" x14ac:dyDescent="0.25">
      <c r="A28" s="128"/>
      <c r="E28" s="130"/>
      <c r="F28" s="130"/>
      <c r="J28" s="126"/>
      <c r="K28" s="127"/>
      <c r="L28" s="127"/>
      <c r="M28" s="127"/>
      <c r="N28" s="127"/>
      <c r="O28" s="127"/>
      <c r="P28" s="127"/>
      <c r="Q28" s="127"/>
      <c r="R28" s="127"/>
      <c r="S28" s="127"/>
      <c r="T28" s="127"/>
      <c r="U28" s="127"/>
      <c r="V28" s="127"/>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7"/>
    </row>
    <row r="29" spans="1:66" s="129" customFormat="1" ht="21" x14ac:dyDescent="0.25">
      <c r="A29" s="131"/>
      <c r="B29" s="132"/>
      <c r="C29" s="133"/>
      <c r="D29" s="134"/>
      <c r="E29" s="135"/>
      <c r="F29" s="136"/>
      <c r="G29" s="137"/>
      <c r="H29" s="138"/>
      <c r="I29" s="137"/>
      <c r="J29" s="139"/>
      <c r="K29" s="127"/>
      <c r="L29" s="127"/>
      <c r="M29" s="127"/>
      <c r="N29" s="127"/>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row>
    <row r="30" spans="1:66" s="129" customFormat="1" ht="21" x14ac:dyDescent="0.25">
      <c r="A30" s="127"/>
      <c r="B30" s="140"/>
      <c r="C30" s="140"/>
      <c r="D30" s="134"/>
      <c r="E30" s="135"/>
      <c r="F30" s="136"/>
      <c r="G30" s="137"/>
      <c r="H30" s="138"/>
      <c r="I30" s="137"/>
      <c r="J30" s="139"/>
      <c r="K30" s="127"/>
      <c r="L30" s="127"/>
      <c r="M30" s="127"/>
      <c r="N30" s="127"/>
      <c r="O30" s="127"/>
      <c r="P30" s="127"/>
      <c r="Q30" s="127"/>
      <c r="R30" s="127"/>
      <c r="S30" s="127"/>
      <c r="T30" s="127"/>
      <c r="U30" s="127"/>
      <c r="V30" s="127"/>
      <c r="W30" s="127"/>
      <c r="X30" s="127"/>
      <c r="Y30" s="127"/>
      <c r="Z30" s="127"/>
      <c r="AA30" s="127"/>
      <c r="AB30" s="127"/>
      <c r="AC30" s="127"/>
      <c r="AD30" s="127"/>
      <c r="AE30" s="127"/>
      <c r="AF30" s="127"/>
      <c r="AG30" s="127"/>
      <c r="AH30" s="127"/>
      <c r="AI30" s="127"/>
      <c r="AJ30" s="127"/>
      <c r="AK30" s="127"/>
      <c r="AL30" s="127"/>
      <c r="AM30" s="127"/>
      <c r="AN30" s="127"/>
      <c r="AO30" s="127"/>
      <c r="AP30" s="127"/>
      <c r="AQ30" s="127"/>
      <c r="AR30" s="127"/>
      <c r="AS30" s="127"/>
    </row>
    <row r="31" spans="1:66" s="129" customFormat="1" ht="21" x14ac:dyDescent="0.25">
      <c r="A31" s="127"/>
      <c r="B31" s="141"/>
      <c r="C31" s="140"/>
      <c r="D31" s="134"/>
      <c r="E31" s="135"/>
      <c r="F31" s="136"/>
      <c r="G31" s="137"/>
      <c r="H31" s="138"/>
      <c r="I31" s="137"/>
      <c r="J31" s="139"/>
      <c r="K31" s="127"/>
      <c r="L31" s="127"/>
      <c r="M31" s="127"/>
      <c r="N31" s="127"/>
      <c r="O31" s="127"/>
      <c r="P31" s="127"/>
      <c r="Q31" s="127"/>
      <c r="R31" s="127"/>
      <c r="S31" s="127"/>
      <c r="T31" s="127"/>
      <c r="U31" s="127"/>
      <c r="V31" s="127"/>
      <c r="W31" s="127"/>
      <c r="X31" s="127"/>
      <c r="Y31" s="127"/>
      <c r="Z31" s="127"/>
      <c r="AA31" s="127"/>
      <c r="AB31" s="127"/>
      <c r="AC31" s="127"/>
      <c r="AD31" s="127"/>
      <c r="AE31" s="127"/>
      <c r="AF31" s="127"/>
      <c r="AG31" s="127"/>
      <c r="AH31" s="127"/>
      <c r="AI31" s="127"/>
      <c r="AJ31" s="127"/>
      <c r="AK31" s="127"/>
      <c r="AL31" s="127"/>
      <c r="AM31" s="127"/>
      <c r="AN31" s="127"/>
      <c r="AO31" s="127"/>
      <c r="AP31" s="127"/>
      <c r="AQ31" s="127"/>
      <c r="AR31" s="127"/>
      <c r="AS31" s="127"/>
    </row>
    <row r="32" spans="1:66" s="129" customFormat="1" ht="21" x14ac:dyDescent="0.25">
      <c r="A32" s="127"/>
      <c r="B32" s="141"/>
      <c r="C32" s="140"/>
      <c r="D32" s="134"/>
      <c r="E32" s="135"/>
      <c r="F32" s="136"/>
      <c r="G32" s="137"/>
      <c r="H32" s="138"/>
      <c r="I32" s="137"/>
      <c r="J32" s="139"/>
      <c r="K32" s="127"/>
      <c r="L32" s="127"/>
      <c r="M32" s="127"/>
      <c r="N32" s="127"/>
      <c r="O32" s="127"/>
      <c r="P32" s="127"/>
      <c r="Q32" s="127"/>
      <c r="R32" s="127"/>
      <c r="S32" s="127"/>
      <c r="T32" s="127"/>
      <c r="U32" s="127"/>
      <c r="V32" s="127"/>
      <c r="W32" s="127"/>
      <c r="X32" s="127"/>
      <c r="Y32" s="127"/>
      <c r="Z32" s="127"/>
      <c r="AA32" s="127"/>
      <c r="AB32" s="127"/>
      <c r="AC32" s="127"/>
      <c r="AD32" s="127"/>
      <c r="AE32" s="127"/>
      <c r="AF32" s="127"/>
      <c r="AG32" s="127"/>
      <c r="AH32" s="127"/>
      <c r="AI32" s="127"/>
      <c r="AJ32" s="127"/>
      <c r="AK32" s="127"/>
      <c r="AL32" s="127"/>
      <c r="AM32" s="127"/>
      <c r="AN32" s="127"/>
      <c r="AO32" s="127"/>
      <c r="AP32" s="127"/>
      <c r="AQ32" s="127"/>
      <c r="AR32" s="127"/>
      <c r="AS32" s="127"/>
    </row>
    <row r="33" spans="1:1" s="143" customFormat="1" x14ac:dyDescent="0.25">
      <c r="A33" s="142"/>
    </row>
  </sheetData>
  <sheetProtection formatCells="0" formatColumns="0" formatRows="0" insertRows="0" deleteRows="0"/>
  <mergeCells count="13">
    <mergeCell ref="K1:AE1"/>
    <mergeCell ref="C5:E5"/>
    <mergeCell ref="R4:X4"/>
    <mergeCell ref="K4:Q4"/>
    <mergeCell ref="C4:E4"/>
    <mergeCell ref="R5:X5"/>
    <mergeCell ref="K5:Q5"/>
    <mergeCell ref="Y4:AE4"/>
    <mergeCell ref="Y5:AE5"/>
    <mergeCell ref="AF4:AL4"/>
    <mergeCell ref="AF5:AL5"/>
    <mergeCell ref="AM5:AS5"/>
    <mergeCell ref="AM4:AS4"/>
  </mergeCells>
  <phoneticPr fontId="3" type="noConversion"/>
  <conditionalFormatting sqref="H8:H32">
    <cfRule type="dataBar" priority="10">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AS7">
    <cfRule type="expression" dxfId="3" priority="53">
      <formula>K$6=TODAY()</formula>
    </cfRule>
  </conditionalFormatting>
  <conditionalFormatting sqref="K6:AS32">
    <cfRule type="expression" dxfId="2" priority="16">
      <formula>K$6=TODAY()</formula>
    </cfRule>
  </conditionalFormatting>
  <conditionalFormatting sqref="K8:AS32">
    <cfRule type="expression" dxfId="1" priority="56">
      <formula>AND($E8&lt;=K$6,ROUNDDOWN(($F8-$E8+1)*$H8,0)+$E8-1&gt;=K$6)</formula>
    </cfRule>
    <cfRule type="expression" dxfId="0" priority="57">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orientation="landscape" r:id="rId1"/>
  <headerFooter alignWithMargins="0"/>
  <ignoredErrors>
    <ignoredError sqref="A25:B26 E12 E17 E21 E25:H26 G12 G17 G21:G24" unlockedFormula="1"/>
    <ignoredError sqref="A21 A17 A12"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99060</xdr:colOff>
                    <xdr:row>1</xdr:row>
                    <xdr:rowOff>121920</xdr:rowOff>
                  </from>
                  <to>
                    <xdr:col>27</xdr:col>
                    <xdr:colOff>106680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46"/>
  <sheetViews>
    <sheetView showGridLines="0" workbookViewId="0"/>
  </sheetViews>
  <sheetFormatPr defaultRowHeight="13.2" x14ac:dyDescent="0.25"/>
  <cols>
    <col min="1" max="1" width="5.5546875" customWidth="1"/>
    <col min="2" max="2" width="37.6640625" customWidth="1"/>
    <col min="3" max="3" width="55.109375" customWidth="1"/>
  </cols>
  <sheetData>
    <row r="1" spans="1:3" ht="30" customHeight="1" x14ac:dyDescent="0.25">
      <c r="A1" s="20" t="s">
        <v>20</v>
      </c>
    </row>
    <row r="4" spans="1:3" x14ac:dyDescent="0.25">
      <c r="C4" s="4" t="s">
        <v>28</v>
      </c>
    </row>
    <row r="5" spans="1:3" x14ac:dyDescent="0.25">
      <c r="C5" s="2" t="s">
        <v>29</v>
      </c>
    </row>
    <row r="6" spans="1:3" x14ac:dyDescent="0.25">
      <c r="C6" s="2"/>
    </row>
    <row r="7" spans="1:3" ht="17.399999999999999" x14ac:dyDescent="0.3">
      <c r="C7" s="13" t="s">
        <v>48</v>
      </c>
    </row>
    <row r="8" spans="1:3" x14ac:dyDescent="0.25">
      <c r="C8" s="14" t="s">
        <v>46</v>
      </c>
    </row>
    <row r="10" spans="1:3" x14ac:dyDescent="0.25">
      <c r="C10" s="2" t="s">
        <v>45</v>
      </c>
    </row>
    <row r="11" spans="1:3" x14ac:dyDescent="0.25">
      <c r="C11" s="2" t="s">
        <v>44</v>
      </c>
    </row>
    <row r="13" spans="1:3" ht="17.399999999999999" x14ac:dyDescent="0.3">
      <c r="C13" s="13" t="s">
        <v>43</v>
      </c>
    </row>
    <row r="16" spans="1:3" ht="15.6" x14ac:dyDescent="0.3">
      <c r="A16" s="16" t="s">
        <v>22</v>
      </c>
    </row>
    <row r="18" spans="2:2" ht="13.8" x14ac:dyDescent="0.25">
      <c r="B18" s="15" t="s">
        <v>33</v>
      </c>
    </row>
    <row r="19" spans="2:2" x14ac:dyDescent="0.25">
      <c r="B19" s="2" t="s">
        <v>38</v>
      </c>
    </row>
    <row r="20" spans="2:2" x14ac:dyDescent="0.25">
      <c r="B20" s="2" t="s">
        <v>39</v>
      </c>
    </row>
    <row r="22" spans="2:2" ht="13.8" x14ac:dyDescent="0.25">
      <c r="B22" s="15" t="s">
        <v>40</v>
      </c>
    </row>
    <row r="23" spans="2:2" x14ac:dyDescent="0.25">
      <c r="B23" s="2" t="s">
        <v>41</v>
      </c>
    </row>
    <row r="24" spans="2:2" x14ac:dyDescent="0.25">
      <c r="B24" s="2" t="s">
        <v>42</v>
      </c>
    </row>
    <row r="26" spans="2:2" ht="13.8" x14ac:dyDescent="0.25">
      <c r="B26" s="15" t="s">
        <v>30</v>
      </c>
    </row>
    <row r="27" spans="2:2" x14ac:dyDescent="0.25">
      <c r="B27" s="2" t="s">
        <v>34</v>
      </c>
    </row>
    <row r="28" spans="2:2" x14ac:dyDescent="0.25">
      <c r="B28" s="2" t="s">
        <v>35</v>
      </c>
    </row>
    <row r="29" spans="2:2" x14ac:dyDescent="0.25">
      <c r="B29" s="2" t="s">
        <v>36</v>
      </c>
    </row>
    <row r="30" spans="2:2" x14ac:dyDescent="0.25">
      <c r="B30" t="s">
        <v>23</v>
      </c>
    </row>
    <row r="31" spans="2:2" x14ac:dyDescent="0.25">
      <c r="B31" t="s">
        <v>24</v>
      </c>
    </row>
    <row r="32" spans="2:2" x14ac:dyDescent="0.25">
      <c r="B32" t="s">
        <v>25</v>
      </c>
    </row>
    <row r="34" spans="2:2" ht="13.8" x14ac:dyDescent="0.25">
      <c r="B34" s="15" t="s">
        <v>26</v>
      </c>
    </row>
    <row r="35" spans="2:2" x14ac:dyDescent="0.25">
      <c r="B35" s="2" t="s">
        <v>118</v>
      </c>
    </row>
    <row r="36" spans="2:2" x14ac:dyDescent="0.25">
      <c r="B36" s="2" t="s">
        <v>119</v>
      </c>
    </row>
    <row r="37" spans="2:2" x14ac:dyDescent="0.25">
      <c r="B37" s="2" t="s">
        <v>120</v>
      </c>
    </row>
    <row r="39" spans="2:2" ht="13.8" x14ac:dyDescent="0.25">
      <c r="B39" s="15" t="s">
        <v>27</v>
      </c>
    </row>
    <row r="40" spans="2:2" x14ac:dyDescent="0.25">
      <c r="B40" s="2" t="s">
        <v>37</v>
      </c>
    </row>
    <row r="42" spans="2:2" ht="13.8" x14ac:dyDescent="0.25">
      <c r="B42" s="15" t="s">
        <v>31</v>
      </c>
    </row>
    <row r="43" spans="2:2" x14ac:dyDescent="0.25">
      <c r="B43" s="2" t="s">
        <v>121</v>
      </c>
    </row>
    <row r="44" spans="2:2" x14ac:dyDescent="0.25">
      <c r="B44" s="2" t="s">
        <v>32</v>
      </c>
    </row>
    <row r="46" spans="2:2" ht="17.399999999999999" x14ac:dyDescent="0.3">
      <c r="B46" s="13" t="s">
        <v>21</v>
      </c>
    </row>
  </sheetData>
  <hyperlinks>
    <hyperlink ref="C7" r:id="rId1" xr:uid="{00000000-0004-0000-0100-000000000000}"/>
    <hyperlink ref="B46" r:id="rId2" tooltip="Go to Vertex42.com" display="https://www.vertex42.com/Links/go.php?urlid=GanttChartPro" xr:uid="{00000000-0004-0000-0100-000001000000}"/>
    <hyperlink ref="C13" r:id="rId3" display="https://www.vertex42.com/blog/business/pm/new-gantt-chart-for-excel-online.html" xr:uid="{00000000-0004-0000-0100-000002000000}"/>
  </hyperlinks>
  <pageMargins left="0.7" right="0.7" top="0.75" bottom="0.75" header="0.3" footer="0.3"/>
  <pageSetup scale="93" orientation="portrait" r:id="rId4"/>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workbookViewId="0"/>
  </sheetViews>
  <sheetFormatPr defaultColWidth="8.88671875" defaultRowHeight="13.2" x14ac:dyDescent="0.25"/>
  <cols>
    <col min="1" max="1" width="5.5546875" style="2" customWidth="1"/>
    <col min="2" max="2" width="90.44140625" style="2" customWidth="1"/>
    <col min="3" max="3" width="16.44140625" style="2" bestFit="1" customWidth="1"/>
    <col min="4" max="16384" width="8.88671875" style="2"/>
  </cols>
  <sheetData>
    <row r="1" spans="1:3" ht="30" customHeight="1" x14ac:dyDescent="0.25">
      <c r="A1" s="24" t="s">
        <v>113</v>
      </c>
      <c r="B1" s="25"/>
    </row>
    <row r="2" spans="1:3" ht="13.8" x14ac:dyDescent="0.25">
      <c r="A2" s="92" t="s">
        <v>46</v>
      </c>
      <c r="B2" s="3"/>
    </row>
    <row r="3" spans="1:3" x14ac:dyDescent="0.25">
      <c r="B3" s="3"/>
    </row>
    <row r="4" spans="1:3" ht="17.399999999999999" x14ac:dyDescent="0.3">
      <c r="A4" s="87" t="s">
        <v>80</v>
      </c>
      <c r="B4" s="16"/>
    </row>
    <row r="5" spans="1:3" ht="55.2" x14ac:dyDescent="0.25">
      <c r="B5" s="93" t="s">
        <v>69</v>
      </c>
    </row>
    <row r="7" spans="1:3" ht="27.6" x14ac:dyDescent="0.25">
      <c r="B7" s="93" t="s">
        <v>81</v>
      </c>
    </row>
    <row r="9" spans="1:3" ht="13.8" x14ac:dyDescent="0.25">
      <c r="B9" s="92" t="s">
        <v>57</v>
      </c>
    </row>
    <row r="11" spans="1:3" ht="27.6" x14ac:dyDescent="0.25">
      <c r="B11" s="91" t="s">
        <v>58</v>
      </c>
    </row>
    <row r="13" spans="1:3" ht="17.399999999999999" x14ac:dyDescent="0.3">
      <c r="A13" s="121" t="s">
        <v>3</v>
      </c>
      <c r="B13" s="121"/>
    </row>
    <row r="15" spans="1:3" s="88" customFormat="1" ht="17.399999999999999" x14ac:dyDescent="0.25">
      <c r="A15" s="95"/>
      <c r="B15" s="94" t="s">
        <v>72</v>
      </c>
    </row>
    <row r="16" spans="1:3" s="88" customFormat="1" ht="17.399999999999999" x14ac:dyDescent="0.25">
      <c r="A16" s="95"/>
      <c r="B16" s="94" t="s">
        <v>70</v>
      </c>
      <c r="C16" s="90" t="s">
        <v>2</v>
      </c>
    </row>
    <row r="17" spans="1:3" ht="17.399999999999999" x14ac:dyDescent="0.3">
      <c r="A17" s="96"/>
      <c r="B17" s="94" t="s">
        <v>74</v>
      </c>
    </row>
    <row r="18" spans="1:3" ht="17.399999999999999" x14ac:dyDescent="0.3">
      <c r="A18" s="96"/>
      <c r="B18" s="94" t="s">
        <v>82</v>
      </c>
    </row>
    <row r="19" spans="1:3" ht="17.399999999999999" x14ac:dyDescent="0.3">
      <c r="A19" s="96"/>
      <c r="B19" s="94" t="s">
        <v>83</v>
      </c>
    </row>
    <row r="20" spans="1:3" s="88" customFormat="1" ht="17.399999999999999" x14ac:dyDescent="0.25">
      <c r="A20" s="95"/>
      <c r="B20" s="94" t="s">
        <v>71</v>
      </c>
      <c r="C20" s="89" t="s">
        <v>1</v>
      </c>
    </row>
    <row r="21" spans="1:3" ht="17.399999999999999" x14ac:dyDescent="0.3">
      <c r="A21" s="96"/>
      <c r="B21" s="94" t="s">
        <v>73</v>
      </c>
    </row>
    <row r="22" spans="1:3" ht="17.399999999999999" x14ac:dyDescent="0.3">
      <c r="A22" s="96"/>
      <c r="B22" s="97" t="s">
        <v>75</v>
      </c>
    </row>
    <row r="23" spans="1:3" ht="17.399999999999999" x14ac:dyDescent="0.3">
      <c r="A23" s="96"/>
      <c r="B23" s="4"/>
    </row>
    <row r="24" spans="1:3" ht="17.399999999999999" x14ac:dyDescent="0.3">
      <c r="A24" s="121" t="s">
        <v>76</v>
      </c>
      <c r="B24" s="121"/>
    </row>
    <row r="25" spans="1:3" ht="41.4" x14ac:dyDescent="0.3">
      <c r="A25" s="96"/>
      <c r="B25" s="94" t="s">
        <v>84</v>
      </c>
    </row>
    <row r="26" spans="1:3" ht="17.399999999999999" x14ac:dyDescent="0.3">
      <c r="A26" s="96"/>
      <c r="B26" s="94"/>
    </row>
    <row r="27" spans="1:3" ht="17.399999999999999" x14ac:dyDescent="0.3">
      <c r="A27" s="96"/>
      <c r="B27" s="111" t="s">
        <v>88</v>
      </c>
    </row>
    <row r="28" spans="1:3" ht="17.399999999999999" x14ac:dyDescent="0.3">
      <c r="A28" s="96"/>
      <c r="B28" s="94" t="s">
        <v>77</v>
      </c>
    </row>
    <row r="29" spans="1:3" ht="27.6" x14ac:dyDescent="0.3">
      <c r="A29" s="96"/>
      <c r="B29" s="94" t="s">
        <v>79</v>
      </c>
    </row>
    <row r="30" spans="1:3" ht="17.399999999999999" x14ac:dyDescent="0.3">
      <c r="A30" s="96"/>
      <c r="B30" s="94"/>
    </row>
    <row r="31" spans="1:3" ht="17.399999999999999" x14ac:dyDescent="0.3">
      <c r="A31" s="96"/>
      <c r="B31" s="111" t="s">
        <v>85</v>
      </c>
    </row>
    <row r="32" spans="1:3" ht="17.399999999999999" x14ac:dyDescent="0.3">
      <c r="A32" s="96"/>
      <c r="B32" s="94" t="s">
        <v>78</v>
      </c>
    </row>
    <row r="33" spans="1:2" ht="17.399999999999999" x14ac:dyDescent="0.3">
      <c r="A33" s="96"/>
      <c r="B33" s="94" t="s">
        <v>86</v>
      </c>
    </row>
    <row r="34" spans="1:2" ht="17.399999999999999" x14ac:dyDescent="0.3">
      <c r="A34" s="96"/>
      <c r="B34" s="4"/>
    </row>
    <row r="35" spans="1:2" ht="27.6" x14ac:dyDescent="0.3">
      <c r="A35" s="96"/>
      <c r="B35" s="94" t="s">
        <v>123</v>
      </c>
    </row>
    <row r="36" spans="1:2" ht="17.399999999999999" x14ac:dyDescent="0.3">
      <c r="A36" s="96"/>
      <c r="B36" s="98" t="s">
        <v>87</v>
      </c>
    </row>
    <row r="37" spans="1:2" ht="17.399999999999999" x14ac:dyDescent="0.3">
      <c r="A37" s="96"/>
      <c r="B37" s="4"/>
    </row>
    <row r="38" spans="1:2" ht="17.399999999999999" x14ac:dyDescent="0.3">
      <c r="A38" s="121" t="s">
        <v>8</v>
      </c>
      <c r="B38" s="121"/>
    </row>
    <row r="39" spans="1:2" ht="27.6" x14ac:dyDescent="0.25">
      <c r="B39" s="94" t="s">
        <v>90</v>
      </c>
    </row>
    <row r="41" spans="1:2" ht="13.8" x14ac:dyDescent="0.25">
      <c r="B41" s="94" t="s">
        <v>91</v>
      </c>
    </row>
    <row r="43" spans="1:2" ht="27.6" x14ac:dyDescent="0.25">
      <c r="B43" s="94" t="s">
        <v>89</v>
      </c>
    </row>
    <row r="45" spans="1:2" ht="27.6" x14ac:dyDescent="0.25">
      <c r="B45" s="94" t="s">
        <v>92</v>
      </c>
    </row>
    <row r="46" spans="1:2" x14ac:dyDescent="0.25">
      <c r="B46" s="11"/>
    </row>
    <row r="47" spans="1:2" ht="27.6" x14ac:dyDescent="0.25">
      <c r="B47" s="94" t="s">
        <v>93</v>
      </c>
    </row>
    <row r="49" spans="1:2" ht="17.399999999999999" x14ac:dyDescent="0.3">
      <c r="A49" s="121" t="s">
        <v>6</v>
      </c>
      <c r="B49" s="121"/>
    </row>
    <row r="50" spans="1:2" ht="27.6" x14ac:dyDescent="0.25">
      <c r="B50" s="94" t="s">
        <v>124</v>
      </c>
    </row>
    <row r="52" spans="1:2" ht="13.8" x14ac:dyDescent="0.25">
      <c r="A52" s="99" t="s">
        <v>9</v>
      </c>
      <c r="B52" s="94" t="s">
        <v>10</v>
      </c>
    </row>
    <row r="53" spans="1:2" ht="13.8" x14ac:dyDescent="0.25">
      <c r="A53" s="99" t="s">
        <v>11</v>
      </c>
      <c r="B53" s="94" t="s">
        <v>12</v>
      </c>
    </row>
    <row r="54" spans="1:2" ht="13.8" x14ac:dyDescent="0.25">
      <c r="A54" s="99" t="s">
        <v>13</v>
      </c>
      <c r="B54" s="94" t="s">
        <v>14</v>
      </c>
    </row>
    <row r="55" spans="1:2" ht="28.2" x14ac:dyDescent="0.25">
      <c r="A55" s="91"/>
      <c r="B55" s="94" t="s">
        <v>94</v>
      </c>
    </row>
    <row r="56" spans="1:2" ht="28.2" x14ac:dyDescent="0.25">
      <c r="A56" s="91"/>
      <c r="B56" s="94" t="s">
        <v>95</v>
      </c>
    </row>
    <row r="57" spans="1:2" ht="13.8" x14ac:dyDescent="0.25">
      <c r="A57" s="99" t="s">
        <v>15</v>
      </c>
      <c r="B57" s="94" t="s">
        <v>16</v>
      </c>
    </row>
    <row r="58" spans="1:2" ht="14.4" x14ac:dyDescent="0.25">
      <c r="A58" s="91"/>
      <c r="B58" s="94" t="s">
        <v>96</v>
      </c>
    </row>
    <row r="59" spans="1:2" ht="14.4" x14ac:dyDescent="0.25">
      <c r="A59" s="91"/>
      <c r="B59" s="94" t="s">
        <v>97</v>
      </c>
    </row>
    <row r="60" spans="1:2" ht="13.8" x14ac:dyDescent="0.25">
      <c r="A60" s="99" t="s">
        <v>17</v>
      </c>
      <c r="B60" s="94" t="s">
        <v>18</v>
      </c>
    </row>
    <row r="61" spans="1:2" ht="28.2" x14ac:dyDescent="0.25">
      <c r="A61" s="91"/>
      <c r="B61" s="94" t="s">
        <v>98</v>
      </c>
    </row>
    <row r="62" spans="1:2" ht="13.8" x14ac:dyDescent="0.25">
      <c r="A62" s="99" t="s">
        <v>99</v>
      </c>
      <c r="B62" s="94" t="s">
        <v>100</v>
      </c>
    </row>
    <row r="63" spans="1:2" ht="13.8" x14ac:dyDescent="0.25">
      <c r="A63" s="100"/>
      <c r="B63" s="94" t="s">
        <v>101</v>
      </c>
    </row>
    <row r="64" spans="1:2" x14ac:dyDescent="0.25">
      <c r="B64" s="5"/>
    </row>
    <row r="65" spans="1:2" ht="17.399999999999999" x14ac:dyDescent="0.3">
      <c r="A65" s="121" t="s">
        <v>7</v>
      </c>
      <c r="B65" s="121"/>
    </row>
    <row r="66" spans="1:2" ht="41.4" x14ac:dyDescent="0.25">
      <c r="B66" s="94" t="s">
        <v>102</v>
      </c>
    </row>
    <row r="68" spans="1:2" ht="17.399999999999999" x14ac:dyDescent="0.3">
      <c r="A68" s="121" t="s">
        <v>4</v>
      </c>
      <c r="B68" s="121"/>
    </row>
    <row r="69" spans="1:2" ht="13.8" x14ac:dyDescent="0.25">
      <c r="A69" s="106" t="s">
        <v>5</v>
      </c>
      <c r="B69" s="107" t="s">
        <v>103</v>
      </c>
    </row>
    <row r="70" spans="1:2" ht="27.6" x14ac:dyDescent="0.25">
      <c r="A70" s="100"/>
      <c r="B70" s="105" t="s">
        <v>105</v>
      </c>
    </row>
    <row r="71" spans="1:2" ht="13.8" x14ac:dyDescent="0.25">
      <c r="A71" s="100"/>
      <c r="B71" s="101"/>
    </row>
    <row r="72" spans="1:2" ht="13.8" x14ac:dyDescent="0.25">
      <c r="A72" s="106" t="s">
        <v>5</v>
      </c>
      <c r="B72" s="107" t="s">
        <v>122</v>
      </c>
    </row>
    <row r="73" spans="1:2" ht="28.2" x14ac:dyDescent="0.25">
      <c r="A73" s="100"/>
      <c r="B73" s="105" t="s">
        <v>126</v>
      </c>
    </row>
    <row r="74" spans="1:2" ht="13.8" x14ac:dyDescent="0.25">
      <c r="A74" s="100"/>
      <c r="B74" s="101"/>
    </row>
    <row r="75" spans="1:2" ht="13.8" x14ac:dyDescent="0.25">
      <c r="A75" s="106" t="s">
        <v>5</v>
      </c>
      <c r="B75" s="109" t="s">
        <v>108</v>
      </c>
    </row>
    <row r="76" spans="1:2" ht="41.4" x14ac:dyDescent="0.25">
      <c r="A76" s="100"/>
      <c r="B76" s="93" t="s">
        <v>125</v>
      </c>
    </row>
    <row r="77" spans="1:2" ht="13.8" x14ac:dyDescent="0.25">
      <c r="A77" s="100"/>
      <c r="B77" s="100"/>
    </row>
    <row r="78" spans="1:2" ht="13.8" x14ac:dyDescent="0.25">
      <c r="A78" s="106" t="s">
        <v>5</v>
      </c>
      <c r="B78" s="109" t="s">
        <v>114</v>
      </c>
    </row>
    <row r="79" spans="1:2" ht="27.6" x14ac:dyDescent="0.25">
      <c r="A79" s="100"/>
      <c r="B79" s="93" t="s">
        <v>109</v>
      </c>
    </row>
    <row r="80" spans="1:2" ht="13.8" x14ac:dyDescent="0.25">
      <c r="A80" s="100"/>
      <c r="B80" s="100"/>
    </row>
    <row r="81" spans="1:2" ht="13.8" x14ac:dyDescent="0.25">
      <c r="A81" s="106" t="s">
        <v>5</v>
      </c>
      <c r="B81" s="109" t="s">
        <v>115</v>
      </c>
    </row>
    <row r="82" spans="1:2" ht="14.4" x14ac:dyDescent="0.3">
      <c r="A82" s="100"/>
      <c r="B82" s="104" t="s">
        <v>110</v>
      </c>
    </row>
    <row r="83" spans="1:2" ht="14.4" x14ac:dyDescent="0.3">
      <c r="A83" s="100"/>
      <c r="B83" s="104" t="s">
        <v>111</v>
      </c>
    </row>
    <row r="84" spans="1:2" ht="14.4" x14ac:dyDescent="0.3">
      <c r="A84" s="100"/>
      <c r="B84" s="104" t="s">
        <v>112</v>
      </c>
    </row>
    <row r="85" spans="1:2" ht="13.8" x14ac:dyDescent="0.25">
      <c r="A85" s="100"/>
      <c r="B85" s="103"/>
    </row>
    <row r="86" spans="1:2" ht="13.8" x14ac:dyDescent="0.25">
      <c r="A86" s="106" t="s">
        <v>5</v>
      </c>
      <c r="B86" s="109" t="s">
        <v>116</v>
      </c>
    </row>
    <row r="87" spans="1:2" ht="41.4" x14ac:dyDescent="0.25">
      <c r="A87" s="100"/>
      <c r="B87" s="93" t="s">
        <v>104</v>
      </c>
    </row>
    <row r="88" spans="1:2" ht="14.4" x14ac:dyDescent="0.3">
      <c r="A88" s="100"/>
      <c r="B88" s="102" t="s">
        <v>106</v>
      </c>
    </row>
    <row r="89" spans="1:2" ht="41.4" x14ac:dyDescent="0.25">
      <c r="A89" s="100"/>
      <c r="B89" s="108" t="s">
        <v>107</v>
      </c>
    </row>
    <row r="90" spans="1:2" ht="13.8" x14ac:dyDescent="0.25">
      <c r="A90" s="100"/>
      <c r="B90" s="100"/>
    </row>
    <row r="91" spans="1:2" ht="13.8" x14ac:dyDescent="0.25">
      <c r="A91" s="106" t="s">
        <v>5</v>
      </c>
      <c r="B91" s="109" t="s">
        <v>117</v>
      </c>
    </row>
    <row r="92" spans="1:2" ht="27.6" x14ac:dyDescent="0.25">
      <c r="A92" s="91"/>
      <c r="B92" s="104" t="s">
        <v>19</v>
      </c>
    </row>
    <row r="94" spans="1:2" x14ac:dyDescent="0.25">
      <c r="A94" s="17" t="s">
        <v>127</v>
      </c>
    </row>
  </sheetData>
  <mergeCells count="6">
    <mergeCell ref="A38:B38"/>
    <mergeCell ref="A49:B49"/>
    <mergeCell ref="A68:B68"/>
    <mergeCell ref="A13:B13"/>
    <mergeCell ref="A65:B65"/>
    <mergeCell ref="A24:B24"/>
  </mergeCells>
  <phoneticPr fontId="3" type="noConversion"/>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r:id="rId4"/>
  <headerFooter alignWithMargins="0"/>
  <drawing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heetViews>
  <sheetFormatPr defaultColWidth="8.88671875" defaultRowHeight="13.2" x14ac:dyDescent="0.25"/>
  <cols>
    <col min="1" max="1" width="5.5546875" style="2" customWidth="1"/>
    <col min="2" max="2" width="82.109375" style="2" customWidth="1"/>
  </cols>
  <sheetData>
    <row r="1" spans="1:3" ht="30" customHeight="1" x14ac:dyDescent="0.25">
      <c r="A1" s="24" t="s">
        <v>49</v>
      </c>
      <c r="B1" s="24"/>
    </row>
    <row r="2" spans="1:3" ht="15" x14ac:dyDescent="0.25">
      <c r="B2" s="28"/>
    </row>
    <row r="3" spans="1:3" ht="15" x14ac:dyDescent="0.25">
      <c r="A3" s="26"/>
      <c r="B3" s="21" t="s">
        <v>50</v>
      </c>
      <c r="C3" s="27"/>
    </row>
    <row r="4" spans="1:3" ht="13.8" x14ac:dyDescent="0.25">
      <c r="A4" s="6"/>
      <c r="B4" s="23" t="s">
        <v>46</v>
      </c>
      <c r="C4" s="7"/>
    </row>
    <row r="5" spans="1:3" ht="15" x14ac:dyDescent="0.25">
      <c r="A5" s="6"/>
      <c r="B5" s="8"/>
      <c r="C5" s="7"/>
    </row>
    <row r="6" spans="1:3" ht="15.6" x14ac:dyDescent="0.3">
      <c r="A6" s="6"/>
      <c r="B6" s="9" t="s">
        <v>127</v>
      </c>
      <c r="C6" s="7"/>
    </row>
    <row r="7" spans="1:3" ht="15" x14ac:dyDescent="0.25">
      <c r="A7" s="6"/>
      <c r="B7" s="8"/>
      <c r="C7" s="7"/>
    </row>
    <row r="8" spans="1:3" ht="30" x14ac:dyDescent="0.25">
      <c r="A8" s="6"/>
      <c r="B8" s="8" t="s">
        <v>51</v>
      </c>
      <c r="C8" s="7"/>
    </row>
    <row r="9" spans="1:3" ht="15" x14ac:dyDescent="0.25">
      <c r="A9" s="6"/>
      <c r="B9" s="8"/>
      <c r="C9" s="7"/>
    </row>
    <row r="10" spans="1:3" ht="46.2" x14ac:dyDescent="0.3">
      <c r="A10" s="6"/>
      <c r="B10" s="8" t="s">
        <v>52</v>
      </c>
      <c r="C10" s="7"/>
    </row>
    <row r="11" spans="1:3" ht="15" x14ac:dyDescent="0.25">
      <c r="A11" s="6"/>
      <c r="B11" s="8"/>
      <c r="C11" s="7"/>
    </row>
    <row r="12" spans="1:3" ht="45" x14ac:dyDescent="0.25">
      <c r="A12" s="6"/>
      <c r="B12" s="8" t="s">
        <v>53</v>
      </c>
      <c r="C12" s="7"/>
    </row>
    <row r="13" spans="1:3" ht="15" x14ac:dyDescent="0.25">
      <c r="A13" s="6"/>
      <c r="B13" s="8"/>
      <c r="C13" s="7"/>
    </row>
    <row r="14" spans="1:3" ht="60" x14ac:dyDescent="0.25">
      <c r="A14" s="6"/>
      <c r="B14" s="8" t="s">
        <v>54</v>
      </c>
      <c r="C14" s="7"/>
    </row>
    <row r="15" spans="1:3" ht="15" x14ac:dyDescent="0.25">
      <c r="A15" s="6"/>
      <c r="B15" s="8"/>
      <c r="C15" s="7"/>
    </row>
    <row r="16" spans="1:3" ht="30.6" x14ac:dyDescent="0.25">
      <c r="A16" s="6"/>
      <c r="B16" s="8" t="s">
        <v>55</v>
      </c>
      <c r="C16" s="7"/>
    </row>
    <row r="17" spans="1:3" ht="15" x14ac:dyDescent="0.25">
      <c r="A17" s="6"/>
      <c r="B17" s="8"/>
      <c r="C17" s="7"/>
    </row>
    <row r="18" spans="1:3" ht="15.6" x14ac:dyDescent="0.3">
      <c r="A18" s="6"/>
      <c r="B18" s="9" t="s">
        <v>56</v>
      </c>
      <c r="C18" s="7"/>
    </row>
    <row r="19" spans="1:3" ht="15" x14ac:dyDescent="0.25">
      <c r="A19" s="6"/>
      <c r="B19" s="22" t="s">
        <v>47</v>
      </c>
      <c r="C19" s="7"/>
    </row>
    <row r="20" spans="1:3" ht="15" x14ac:dyDescent="0.25">
      <c r="A20" s="6"/>
      <c r="B20" s="10"/>
      <c r="C20" s="7"/>
    </row>
    <row r="21" spans="1:3" x14ac:dyDescent="0.25">
      <c r="A21" s="6"/>
      <c r="B21" s="6"/>
      <c r="C21" s="7"/>
    </row>
    <row r="22" spans="1:3" x14ac:dyDescent="0.25">
      <c r="A22" s="6"/>
      <c r="B22" s="6"/>
      <c r="C22" s="7"/>
    </row>
    <row r="23" spans="1:3" x14ac:dyDescent="0.25">
      <c r="A23" s="6"/>
      <c r="B23" s="6"/>
      <c r="C23" s="7"/>
    </row>
    <row r="24" spans="1:3" x14ac:dyDescent="0.25">
      <c r="A24" s="6"/>
      <c r="B24" s="6"/>
      <c r="C24" s="7"/>
    </row>
    <row r="25" spans="1:3" x14ac:dyDescent="0.25">
      <c r="A25" s="6"/>
      <c r="B25" s="6"/>
      <c r="C25" s="7"/>
    </row>
    <row r="26" spans="1:3" x14ac:dyDescent="0.25">
      <c r="A26" s="6"/>
      <c r="B26" s="6"/>
      <c r="C26" s="7"/>
    </row>
    <row r="27" spans="1:3" x14ac:dyDescent="0.25">
      <c r="A27" s="6"/>
      <c r="B27" s="6"/>
      <c r="C27" s="7"/>
    </row>
    <row r="28" spans="1:3" x14ac:dyDescent="0.25">
      <c r="A28" s="6"/>
      <c r="B28" s="6"/>
      <c r="C28" s="7"/>
    </row>
    <row r="29" spans="1:3" x14ac:dyDescent="0.25">
      <c r="A29" s="6"/>
      <c r="B29" s="6"/>
      <c r="C29" s="7"/>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GanttChart</vt:lpstr>
      <vt:lpstr>GanttChartPro</vt:lpstr>
      <vt:lpstr>Help</vt:lpstr>
      <vt:lpstr>TermsOfUse</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ปิยพัชร์​ ปิยธโนภาส</cp:lastModifiedBy>
  <cp:lastPrinted>2025-04-09T16:30:31Z</cp:lastPrinted>
  <dcterms:created xsi:type="dcterms:W3CDTF">2010-06-09T16:05:03Z</dcterms:created>
  <dcterms:modified xsi:type="dcterms:W3CDTF">2026-09-27T10:55:12Z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ies>
</file>